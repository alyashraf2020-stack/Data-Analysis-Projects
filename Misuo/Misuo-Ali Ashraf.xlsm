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i Ashraf\Desktop\tasks\"/>
    </mc:Choice>
  </mc:AlternateContent>
  <xr:revisionPtr revIDLastSave="0" documentId="13_ncr:1_{B40CACBF-CB32-498B-BF0A-7A5BC78C1B1D}" xr6:coauthVersionLast="47" xr6:coauthVersionMax="47" xr10:uidLastSave="{00000000-0000-0000-0000-000000000000}"/>
  <bookViews>
    <workbookView xWindow="-120" yWindow="-120" windowWidth="29040" windowHeight="16440" activeTab="1" xr2:uid="{00000000-000D-0000-FFFF-FFFF00000000}"/>
  </bookViews>
  <sheets>
    <sheet name="pivot_table" sheetId="3" r:id="rId1"/>
    <sheet name="dashboard" sheetId="4" r:id="rId2"/>
    <sheet name="ماسيو" sheetId="2" r:id="rId3"/>
    <sheet name="data" sheetId="1" state="hidden" r:id="rId4"/>
  </sheets>
  <definedNames>
    <definedName name="_xlcn.WorksheetConnection_NewMicrosoftExcelWorksheet.XLSXماسيو" hidden="1">ماسيو[]</definedName>
    <definedName name="ExternalData_1" localSheetId="2" hidden="1">ماسيو!$A$1:$W$127</definedName>
    <definedName name="Slicer_المحافظه">#N/A</definedName>
    <definedName name="Slicer_لون_المنتج">#N/A</definedName>
    <definedName name="Slicer_منصة_البيع">#N/A</definedName>
  </definedNames>
  <calcPr calcId="191029"/>
  <pivotCaches>
    <pivotCache cacheId="108" r:id="rId5"/>
    <pivotCache cacheId="110" r:id="rId6"/>
    <pivotCache cacheId="112" r:id="rId7"/>
    <pivotCache cacheId="114" r:id="rId8"/>
    <pivotCache cacheId="116" r:id="rId9"/>
    <pivotCache cacheId="118" r:id="rId10"/>
    <pivotCache cacheId="123" r:id="rId11"/>
    <pivotCache cacheId="125" r:id="rId12"/>
    <pivotCache cacheId="127" r:id="rId13"/>
    <pivotCache cacheId="121" r:id="rId14"/>
  </pivotCaches>
  <extLst>
    <ext xmlns:x14="http://schemas.microsoft.com/office/spreadsheetml/2009/9/main" uri="{876F7934-8845-4945-9796-88D515C7AA90}">
      <x14:pivotCaches>
        <pivotCache cacheId="10" r:id="rId15"/>
      </x14:pivotCaches>
    </ext>
    <ext xmlns:x14="http://schemas.microsoft.com/office/spreadsheetml/2009/9/main" uri="{BBE1A952-AA13-448e-AADC-164F8A28A991}">
      <x14:slicerCaches>
        <x14:slicerCache r:id="rId16"/>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ماسيو" name="ماسيو" connection="WorksheetConnection_New Microsoft Excel Worksheet.XLSX!ماسيو"/>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33" i="3" l="1"/>
  <c r="R2" i="3"/>
  <c r="F33" i="3"/>
  <c r="B8" i="3"/>
  <c r="G33" i="3"/>
  <c r="O34" i="3"/>
  <c r="O33" i="3"/>
  <c r="H9" i="3"/>
  <c r="F9"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ACBD67F-4627-423F-B4F7-F1ED58FDE95B}" keepAlive="1" name="Query - ماسيو" description="Connection to the 'ماسيو' query in the workbook." type="5" refreshedVersion="8" background="1" saveData="1">
    <dbPr connection="Provider=Microsoft.Mashup.OleDb.1;Data Source=$Workbook$;Location=ماسيو;Extended Properties=&quot;&quot;" command="SELECT * FROM [ماسيو]"/>
  </connection>
  <connection id="2" xr16:uid="{14D519CA-1E35-440C-A8B3-3D73BE4E32EF}"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6CCF8D5B-89C7-4081-930F-401651BCBDED}" name="WorksheetConnection_New Microsoft Excel Worksheet.XLSX!ماسيو" type="102" refreshedVersion="8" minRefreshableVersion="5">
    <extLst>
      <ext xmlns:x15="http://schemas.microsoft.com/office/spreadsheetml/2010/11/main" uri="{DE250136-89BD-433C-8126-D09CA5730AF9}">
        <x15:connection id="ماسيو">
          <x15:rangePr sourceName="_xlcn.WorksheetConnection_NewMicrosoftExcelWorksheet.XLSXماسيو"/>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ماسيو].[الحالة].&amp;[مرتجع],[ماسيو].[الحالة].&amp;[تم التسليم]}"/>
  </metadataStrings>
  <mdxMetadata count="1">
    <mdx n="0" f="s">
      <ms ns="1" c="0"/>
    </mdx>
  </mdxMetadata>
  <valueMetadata count="1">
    <bk>
      <rc t="1" v="0"/>
    </bk>
  </valueMetadata>
</metadata>
</file>

<file path=xl/sharedStrings.xml><?xml version="1.0" encoding="utf-8"?>
<sst xmlns="http://schemas.openxmlformats.org/spreadsheetml/2006/main" count="3722" uniqueCount="338">
  <si>
    <t>أسم العميل</t>
  </si>
  <si>
    <t>نوع العميل</t>
  </si>
  <si>
    <t>العنوان</t>
  </si>
  <si>
    <t>المحافظه</t>
  </si>
  <si>
    <t>منصة البيع</t>
  </si>
  <si>
    <t>الصنف</t>
  </si>
  <si>
    <t>النوع</t>
  </si>
  <si>
    <t>الاسم</t>
  </si>
  <si>
    <t>المقاس</t>
  </si>
  <si>
    <t>لون المنتج</t>
  </si>
  <si>
    <t>لون القماش</t>
  </si>
  <si>
    <t>المنتج</t>
  </si>
  <si>
    <t>سعر البيع</t>
  </si>
  <si>
    <t>طريقه الدفع</t>
  </si>
  <si>
    <t>نوع الدفع</t>
  </si>
  <si>
    <t>ميعاد الطلب</t>
  </si>
  <si>
    <t>ميعاد التسليم</t>
  </si>
  <si>
    <t>تاريخ التسليم</t>
  </si>
  <si>
    <t>المسئول عن التسليم</t>
  </si>
  <si>
    <t>الحالة</t>
  </si>
  <si>
    <t>مده التسليم (الهدف)</t>
  </si>
  <si>
    <t>مده التسليم (الفعلي)</t>
  </si>
  <si>
    <t>حاله التوصيل</t>
  </si>
  <si>
    <t>خالد عبد القوى</t>
  </si>
  <si>
    <t>أفراد</t>
  </si>
  <si>
    <t>العجوزه - الجيزه</t>
  </si>
  <si>
    <t>الجيزة</t>
  </si>
  <si>
    <t>هومزمارت</t>
  </si>
  <si>
    <t>سرير</t>
  </si>
  <si>
    <t>منطبق</t>
  </si>
  <si>
    <t>ابيض</t>
  </si>
  <si>
    <t>سرير منطبق الحديد ابيض والقماش ابيض</t>
  </si>
  <si>
    <t>مسبق الدفع</t>
  </si>
  <si>
    <t>تم التسليم عن طريق شركه شحن</t>
  </si>
  <si>
    <t>تم التسليم</t>
  </si>
  <si>
    <t>محمود</t>
  </si>
  <si>
    <t>سموحه - اسكندريه</t>
  </si>
  <si>
    <t>الإسكندرية</t>
  </si>
  <si>
    <t>اسود</t>
  </si>
  <si>
    <t>سرير منطبق اسود والقماش اسود</t>
  </si>
  <si>
    <t>9749</t>
  </si>
  <si>
    <t>كاش</t>
  </si>
  <si>
    <t>سعيد</t>
  </si>
  <si>
    <t>سيدى عبد الرحمن - الساحل الشمالى</t>
  </si>
  <si>
    <t>مطروح</t>
  </si>
  <si>
    <t>دورين</t>
  </si>
  <si>
    <t>كيفنج</t>
  </si>
  <si>
    <t>90</t>
  </si>
  <si>
    <t>ازرق</t>
  </si>
  <si>
    <t>سرير كيفينج مقاس 90 لون ازرق</t>
  </si>
  <si>
    <t>10067.68</t>
  </si>
  <si>
    <t>فشل التسليم</t>
  </si>
  <si>
    <t>ساندرا</t>
  </si>
  <si>
    <t>الغردقه</t>
  </si>
  <si>
    <t>البحر الأحمر</t>
  </si>
  <si>
    <t>تربيزه</t>
  </si>
  <si>
    <t>ترابيزه قهوه متحركه</t>
  </si>
  <si>
    <t>في الموعد</t>
  </si>
  <si>
    <t>زينا</t>
  </si>
  <si>
    <t>نوفال</t>
  </si>
  <si>
    <t>100</t>
  </si>
  <si>
    <t>رمادى</t>
  </si>
  <si>
    <t>سرير نوفال متر رمادى</t>
  </si>
  <si>
    <t>12974.22</t>
  </si>
  <si>
    <t>شيك هومز</t>
  </si>
  <si>
    <t>شركة</t>
  </si>
  <si>
    <t>كنبة</t>
  </si>
  <si>
    <t>4*1</t>
  </si>
  <si>
    <t>كنبه سرير رمادى</t>
  </si>
  <si>
    <t>متأخر</t>
  </si>
  <si>
    <t>احمد</t>
  </si>
  <si>
    <t>التجمع الخامس</t>
  </si>
  <si>
    <t>القاهرة</t>
  </si>
  <si>
    <t>فيسبوك</t>
  </si>
  <si>
    <t>12000</t>
  </si>
  <si>
    <t>تم تسليم العميل عن طريق شركه شحن</t>
  </si>
  <si>
    <t>yilmaz</t>
  </si>
  <si>
    <t>٦ اكتوبر الجيزه</t>
  </si>
  <si>
    <t>فردى</t>
  </si>
  <si>
    <t>سرير فردى ابيض</t>
  </si>
  <si>
    <t>تاكى</t>
  </si>
  <si>
    <t>العباسيه</t>
  </si>
  <si>
    <t>ركنة</t>
  </si>
  <si>
    <t>ركنة بسرير</t>
  </si>
  <si>
    <t>ركنه</t>
  </si>
  <si>
    <t>22000</t>
  </si>
  <si>
    <t>سحارة</t>
  </si>
  <si>
    <t>٢ كنبه سحاره بمخدع</t>
  </si>
  <si>
    <t>16000</t>
  </si>
  <si>
    <t>ملغى</t>
  </si>
  <si>
    <t>مرفوض</t>
  </si>
  <si>
    <t>٢ كنبه سحاره بدون مخدع</t>
  </si>
  <si>
    <t>تم التسليم محمود على</t>
  </si>
  <si>
    <t>على رشوان</t>
  </si>
  <si>
    <t>مصر الجديده</t>
  </si>
  <si>
    <t>80</t>
  </si>
  <si>
    <t>سرير نوفال ابيض مقاس ٨٠</t>
  </si>
  <si>
    <t>8924</t>
  </si>
  <si>
    <t>احمد فخرى</t>
  </si>
  <si>
    <t>سرير فردى خشب موسكى الحديد ابيض مقاس ٨٠</t>
  </si>
  <si>
    <t>5895</t>
  </si>
  <si>
    <t>لينا</t>
  </si>
  <si>
    <t>المقطم</t>
  </si>
  <si>
    <t>2 ميكانزم</t>
  </si>
  <si>
    <t>ترابيزه قهوه علويه جديده</t>
  </si>
  <si>
    <t>مرتجع</t>
  </si>
  <si>
    <t>فيصل نعيم</t>
  </si>
  <si>
    <t>اوسكار ريتن</t>
  </si>
  <si>
    <t>120</t>
  </si>
  <si>
    <t>٢ سرير كيفنج ١٢٠ اسود</t>
  </si>
  <si>
    <t>9700</t>
  </si>
  <si>
    <t>ellho elkafy</t>
  </si>
  <si>
    <t>مدينه نصر</t>
  </si>
  <si>
    <t>سرير كينج ابيض مقاس ٨٠ التصميم الجديد</t>
  </si>
  <si>
    <t>11310</t>
  </si>
  <si>
    <t>القاهره الجديده</t>
  </si>
  <si>
    <t>فورجينا</t>
  </si>
  <si>
    <t>٤سرير فردى خشب موسكى الحديد ابيض مقاس ٨٠</t>
  </si>
  <si>
    <t>كرسى</t>
  </si>
  <si>
    <t>فنسيا</t>
  </si>
  <si>
    <t>٢ فوتيه فنيسيا</t>
  </si>
  <si>
    <t>9300</t>
  </si>
  <si>
    <t>صفاء</t>
  </si>
  <si>
    <t>المعادى</t>
  </si>
  <si>
    <t>حسن حازم</t>
  </si>
  <si>
    <t>اسبانى</t>
  </si>
  <si>
    <t>سرير اسبانى ابيض ١٢٠</t>
  </si>
  <si>
    <t>سرير كيفنج ابيض</t>
  </si>
  <si>
    <t>5781.75</t>
  </si>
  <si>
    <t>سرير كيفنج اسود</t>
  </si>
  <si>
    <t>1278.53</t>
  </si>
  <si>
    <t>اوسكار راتن</t>
  </si>
  <si>
    <t>مخزن اوسكار في القناطر</t>
  </si>
  <si>
    <t>القليوبية</t>
  </si>
  <si>
    <t>٢ سريرفورجينا خشب موسكى ابيض مقاس ١٢٠</t>
  </si>
  <si>
    <t>حساب شركه</t>
  </si>
  <si>
    <t>ارفيل</t>
  </si>
  <si>
    <t>٢ سرير ارفيل ١٢٠ اسود</t>
  </si>
  <si>
    <t>يوسف شناوى</t>
  </si>
  <si>
    <t>الابراهيميه . الإسكندرية</t>
  </si>
  <si>
    <t>رف سحاب</t>
  </si>
  <si>
    <t>ترابيزه قهوه علويه برف سحاب</t>
  </si>
  <si>
    <t>رنا</t>
  </si>
  <si>
    <t>القطاميه</t>
  </si>
  <si>
    <t>7928</t>
  </si>
  <si>
    <t>عبير نور الدين</t>
  </si>
  <si>
    <t>١٨ شارع البحيري بولاق الدكرور الجيزه</t>
  </si>
  <si>
    <t>ثلاثه ادوار</t>
  </si>
  <si>
    <t>سرير كيفنج ٣ ادورا اسود مقاس ١٠٠</t>
  </si>
  <si>
    <t>9450</t>
  </si>
  <si>
    <t>اسراء ابو العنين</t>
  </si>
  <si>
    <t>سرير اسبانى اسود مقاس ١٢٠</t>
  </si>
  <si>
    <t>حسن مغرب</t>
  </si>
  <si>
    <t>سرير كيفنج ١٢٠ رمادى</t>
  </si>
  <si>
    <t>على السيد</t>
  </si>
  <si>
    <t>الشروق القاهره</t>
  </si>
  <si>
    <t>سرير نوفال  ٩٠ اسود</t>
  </si>
  <si>
    <t>هشام بسيونى</t>
  </si>
  <si>
    <t>حدايق الاهرام</t>
  </si>
  <si>
    <t>٢ سرير كيفنج ١٠٠ اسود</t>
  </si>
  <si>
    <t>10749</t>
  </si>
  <si>
    <t>الشروق</t>
  </si>
  <si>
    <t>سرير ٣ ادوار ابيض مقاس ٨٠ ابيض</t>
  </si>
  <si>
    <t>ساره وجيه</t>
  </si>
  <si>
    <t>سرير كيفنج دورين مقاس ٨٠ ابيض</t>
  </si>
  <si>
    <t>مها</t>
  </si>
  <si>
    <t>لافيستا العين السخنه</t>
  </si>
  <si>
    <t>السويس</t>
  </si>
  <si>
    <t>140</t>
  </si>
  <si>
    <t>سرير كيفنج استيل ازرق مقاس ١٤٠</t>
  </si>
  <si>
    <t>بسام الشربينى</t>
  </si>
  <si>
    <t>كينج</t>
  </si>
  <si>
    <t>بنفسجى</t>
  </si>
  <si>
    <t>سرير كينج ١٢٠ بنفسجى</t>
  </si>
  <si>
    <t>اسراء ابراهيم</t>
  </si>
  <si>
    <t>طارق كمال</t>
  </si>
  <si>
    <t>سرير كيفنج ٣ ادوار اسود مقاس ٩٠</t>
  </si>
  <si>
    <t>ديفد بهجت</t>
  </si>
  <si>
    <t>فيصل الجيزه</t>
  </si>
  <si>
    <t>ترابيزه قهوه ٢ رافع</t>
  </si>
  <si>
    <t>اياد</t>
  </si>
  <si>
    <t>بمكتبة</t>
  </si>
  <si>
    <t>عبد الله سيد</t>
  </si>
  <si>
    <t>الشيخ زايد ٦ اكتوبر</t>
  </si>
  <si>
    <t>سرير اسبانى  ١٤٠ اسود وبيج</t>
  </si>
  <si>
    <t>كينج سونا</t>
  </si>
  <si>
    <t>ترابيزه قهوه مرتفعه برف سحاب</t>
  </si>
  <si>
    <t>احمد خالد</t>
  </si>
  <si>
    <t>الرحاب</t>
  </si>
  <si>
    <t>٢. سرير فورجينا ابيض مقاس ١٢٠</t>
  </si>
  <si>
    <t>ساره</t>
  </si>
  <si>
    <t>٢. سرير اسبانى ابيض ١٢٠</t>
  </si>
  <si>
    <t>احمد ايمن</t>
  </si>
  <si>
    <t>العبور</t>
  </si>
  <si>
    <t>مصطفي غنيم</t>
  </si>
  <si>
    <t>اسيوط</t>
  </si>
  <si>
    <t>أسيوط</t>
  </si>
  <si>
    <t>سرير كيفنج دورين مقاس ١٢٠ رمادى</t>
  </si>
  <si>
    <t>رامى</t>
  </si>
  <si>
    <t>سرير نوفال ١٠٠ رمادى</t>
  </si>
  <si>
    <t>فؤاد المنسي</t>
  </si>
  <si>
    <t>سرير نوفال مقاس ٨٠ ابيض</t>
  </si>
  <si>
    <t>مهند</t>
  </si>
  <si>
    <t>المعادي</t>
  </si>
  <si>
    <t>غير محدد</t>
  </si>
  <si>
    <t>غير معروف</t>
  </si>
  <si>
    <t>اسامه</t>
  </si>
  <si>
    <t>العين السخنه</t>
  </si>
  <si>
    <t>6306</t>
  </si>
  <si>
    <t>المخزن ابو الغيط</t>
  </si>
  <si>
    <t>ولاء بدوى</t>
  </si>
  <si>
    <t>9033</t>
  </si>
  <si>
    <t>عبد الرحمن يسري</t>
  </si>
  <si>
    <t>اكتوبر الجيزه</t>
  </si>
  <si>
    <t>8433</t>
  </si>
  <si>
    <t>9608</t>
  </si>
  <si>
    <t>الحج محمد السويس</t>
  </si>
  <si>
    <t>فانتستيك</t>
  </si>
  <si>
    <t>تم التسليم بمعرفه الحج سيد</t>
  </si>
  <si>
    <t>keira</t>
  </si>
  <si>
    <t>١٤٠/١٠٠</t>
  </si>
  <si>
    <t>13028</t>
  </si>
  <si>
    <t>tarek</t>
  </si>
  <si>
    <t>reem</t>
  </si>
  <si>
    <t>البطاش اسكندريه</t>
  </si>
  <si>
    <t>١٠٠/١٤٠</t>
  </si>
  <si>
    <t>11277.5</t>
  </si>
  <si>
    <t>المعرض مدينه نصر</t>
  </si>
  <si>
    <t>فاطمه محمد</t>
  </si>
  <si>
    <t>أكتوبر الجيزه</t>
  </si>
  <si>
    <t>9007.01</t>
  </si>
  <si>
    <t>كنبه</t>
  </si>
  <si>
    <t>4×1</t>
  </si>
  <si>
    <t>8879</t>
  </si>
  <si>
    <t>الشيخ زايد اكتوبر</t>
  </si>
  <si>
    <t>11749</t>
  </si>
  <si>
    <t>بولا هومزمارت</t>
  </si>
  <si>
    <t>4800</t>
  </si>
  <si>
    <t>محمد شكرى</t>
  </si>
  <si>
    <t>مدينتى</t>
  </si>
  <si>
    <t>منزلى</t>
  </si>
  <si>
    <t>حماده</t>
  </si>
  <si>
    <t>160</t>
  </si>
  <si>
    <t>صفاء عبد الباقي</t>
  </si>
  <si>
    <t>المخزن</t>
  </si>
  <si>
    <t>رندا العامرى</t>
  </si>
  <si>
    <t>كيمت</t>
  </si>
  <si>
    <t>13575</t>
  </si>
  <si>
    <t>امريكى</t>
  </si>
  <si>
    <t>بافلى هانى</t>
  </si>
  <si>
    <t>شبرا</t>
  </si>
  <si>
    <t>7965</t>
  </si>
  <si>
    <t>t1</t>
  </si>
  <si>
    <t>6000</t>
  </si>
  <si>
    <t>تم التسليم م محمد</t>
  </si>
  <si>
    <t>رنا ميلاد</t>
  </si>
  <si>
    <t>جليم الإسكندرية</t>
  </si>
  <si>
    <t>ترابيزه</t>
  </si>
  <si>
    <t>مكتبه</t>
  </si>
  <si>
    <t>احمد عبد الستار</t>
  </si>
  <si>
    <t>المندره اسكندريه</t>
  </si>
  <si>
    <t>العميل رفض الاستلام</t>
  </si>
  <si>
    <t>هناء اسامه</t>
  </si>
  <si>
    <t>مريم عنان</t>
  </si>
  <si>
    <t>اب تاون كايرو التجمع</t>
  </si>
  <si>
    <t>7707</t>
  </si>
  <si>
    <t>حمدى ذكرى</t>
  </si>
  <si>
    <t>13231</t>
  </si>
  <si>
    <t>صفاء الحكيم</t>
  </si>
  <si>
    <t>سرير منطببق اسود وقماش اسود</t>
  </si>
  <si>
    <t>حاتم العيسوي</t>
  </si>
  <si>
    <t>سرير منطبق اسود حديد وقماش</t>
  </si>
  <si>
    <t>وائل صادق</t>
  </si>
  <si>
    <t>كوين</t>
  </si>
  <si>
    <t>سرير كوين مقاس ١٤٠ دهبي ورمادى</t>
  </si>
  <si>
    <t>هبه عبد الفتاح</t>
  </si>
  <si>
    <t>كنبه سرير ٤ حركه</t>
  </si>
  <si>
    <t>ميار خورشد</t>
  </si>
  <si>
    <t>سرير منطبق اسود حديد ومعدن</t>
  </si>
  <si>
    <t>حسام عبدون</t>
  </si>
  <si>
    <t>رحاب</t>
  </si>
  <si>
    <t>محمد ايمن</t>
  </si>
  <si>
    <t>مدينه بدر</t>
  </si>
  <si>
    <t>التجمع</t>
  </si>
  <si>
    <t>نبيتى</t>
  </si>
  <si>
    <t>بيج</t>
  </si>
  <si>
    <t>فنيسيا</t>
  </si>
  <si>
    <t>رصاصي مشجر</t>
  </si>
  <si>
    <t>شيزلونج</t>
  </si>
  <si>
    <t>عمرو الأسود</t>
  </si>
  <si>
    <t>الزمالك</t>
  </si>
  <si>
    <t>8988</t>
  </si>
  <si>
    <t>مخزن شيك هومز</t>
  </si>
  <si>
    <t>بترولى</t>
  </si>
  <si>
    <t>أكتوبر</t>
  </si>
  <si>
    <t>11495</t>
  </si>
  <si>
    <t>هشام سامى</t>
  </si>
  <si>
    <t>41 كومبوند جولدن جستس الدور 4 شقه 4</t>
  </si>
  <si>
    <t>بلحه</t>
  </si>
  <si>
    <t>خشب بنى فاتح</t>
  </si>
  <si>
    <t>ارينا</t>
  </si>
  <si>
    <t>محمد حمدى</t>
  </si>
  <si>
    <t>5800</t>
  </si>
  <si>
    <t>محمد ناجى</t>
  </si>
  <si>
    <t>دوران</t>
  </si>
  <si>
    <t>ميكانزم</t>
  </si>
  <si>
    <t>ابيض في بنى غامق</t>
  </si>
  <si>
    <t>6211</t>
  </si>
  <si>
    <t>نور</t>
  </si>
  <si>
    <t>بنى غامق</t>
  </si>
  <si>
    <t>تامر</t>
  </si>
  <si>
    <t>٢ ميكانزم</t>
  </si>
  <si>
    <t>محمد عادل</t>
  </si>
  <si>
    <t>هبه عطيه</t>
  </si>
  <si>
    <t>11257</t>
  </si>
  <si>
    <t>روك ١٠</t>
  </si>
  <si>
    <t xml:space="preserve">عدد الأفراد والشركات التي تتعامل معها شركة مسيو </t>
  </si>
  <si>
    <t>إجمالي المبيعات</t>
  </si>
  <si>
    <t>Sum of سعر البيع</t>
  </si>
  <si>
    <t>(Multiple Items)</t>
  </si>
  <si>
    <t>عدد الطلبات</t>
  </si>
  <si>
    <t>total_orders</t>
  </si>
  <si>
    <t>متوسط سعر البيع</t>
  </si>
  <si>
    <t>Average of سعر البيع</t>
  </si>
  <si>
    <t>عدد المنتجات المباعة حسب المنصة</t>
  </si>
  <si>
    <t>Count of المنتج</t>
  </si>
  <si>
    <t>Row Labels</t>
  </si>
  <si>
    <t xml:space="preserve">المنتج الأكثر مبيعا </t>
  </si>
  <si>
    <t>اللون الأكثر مبيعا</t>
  </si>
  <si>
    <t>Count of لون المنتج</t>
  </si>
  <si>
    <t>نسبة الطلبات المسلمة في الموعد</t>
  </si>
  <si>
    <t>Count of حاله التوصيل</t>
  </si>
  <si>
    <t>المدينة الأكثر مبيعا</t>
  </si>
  <si>
    <t>Count of أسم العميل</t>
  </si>
  <si>
    <t>Count of نوع العميل</t>
  </si>
  <si>
    <t>Count of الصنف</t>
  </si>
  <si>
    <t>متوسط توصيل الاوردرات اسرع</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</si>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</sst>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_);_(* \(#,##0\);_(* &quot;-&quot;??_);_(@_)"/>
  </numFmts>
  <fonts count="3" x14ac:knownFonts="1">
    <font>
      <sz val="11"/>
      <color theme="1"/>
      <name val="Calibri"/>
      <family val="2"/>
      <scheme val="minor"/>
    </font>
    <font>
      <b/>
      <sz val="11"/>
      <color theme="1"/>
      <name val="Calibri"/>
      <family val="2"/>
      <scheme val="minor"/>
    </font>
    <font>
      <b/>
      <sz val="12"/>
      <color theme="1"/>
      <name val="Times New Roman"/>
      <family val="1"/>
    </font>
  </fonts>
  <fills count="4">
    <fill>
      <patternFill patternType="none"/>
    </fill>
    <fill>
      <patternFill patternType="gray125"/>
    </fill>
    <fill>
      <patternFill patternType="solid">
        <fgColor rgb="FFFFFF00"/>
        <bgColor indexed="64"/>
      </patternFill>
    </fill>
    <fill>
      <patternFill patternType="solid">
        <fgColor rgb="FF182540"/>
        <bgColor indexed="64"/>
      </patternFill>
    </fill>
  </fills>
  <borders count="1">
    <border>
      <left/>
      <right/>
      <top/>
      <bottom/>
      <diagonal/>
    </border>
  </borders>
  <cellStyleXfs count="1">
    <xf numFmtId="0" fontId="0" fillId="0" borderId="0"/>
  </cellStyleXfs>
  <cellXfs count="12">
    <xf numFmtId="0" fontId="0" fillId="0" borderId="0" xfId="0"/>
    <xf numFmtId="0" fontId="0" fillId="0" borderId="0" xfId="0" applyNumberFormat="1"/>
    <xf numFmtId="0" fontId="2" fillId="0" borderId="0" xfId="0" applyFont="1"/>
    <xf numFmtId="0" fontId="0" fillId="0" borderId="0" xfId="0" pivotButton="1"/>
    <xf numFmtId="164" fontId="0" fillId="0" borderId="0" xfId="0" applyNumberFormat="1"/>
    <xf numFmtId="0" fontId="1" fillId="2" borderId="0" xfId="0" applyFont="1" applyFill="1"/>
    <xf numFmtId="0" fontId="0" fillId="0" borderId="0" xfId="0" applyAlignment="1">
      <alignment horizontal="left"/>
    </xf>
    <xf numFmtId="1" fontId="0" fillId="0" borderId="0" xfId="0" applyNumberFormat="1"/>
    <xf numFmtId="10" fontId="0" fillId="0" borderId="0" xfId="0" applyNumberFormat="1"/>
    <xf numFmtId="0" fontId="0" fillId="3" borderId="0" xfId="0" applyFill="1"/>
    <xf numFmtId="14" fontId="0" fillId="0" borderId="0" xfId="0" applyNumberFormat="1"/>
    <xf numFmtId="0" fontId="1" fillId="2" borderId="0" xfId="0" applyFont="1" applyFill="1" applyAlignment="1">
      <alignment horizontal="center" vertical="center"/>
    </xf>
  </cellXfs>
  <cellStyles count="1">
    <cellStyle name="Normal" xfId="0" builtinId="0"/>
  </cellStyles>
  <dxfs count="46">
    <dxf>
      <numFmt numFmtId="164" formatCode="_(* #,##0_);_(* \(#,##0\);_(* &quot;-&quot;??_);_(@_)"/>
    </dxf>
    <dxf>
      <numFmt numFmtId="164" formatCode="_(* #,##0_);_(* \(#,##0\);_(* &quot;-&quot;??_);_(@_)"/>
    </dxf>
    <dxf>
      <numFmt numFmtId="14" formatCode="0.00%"/>
    </dxf>
    <dxf>
      <numFmt numFmtId="164" formatCode="_(* #,##0_);_(* \(#,##0\);_(* &quot;-&quot;??_);_(@_)"/>
    </dxf>
    <dxf>
      <numFmt numFmtId="164" formatCode="_(* #,##0_);_(* \(#,##0\);_(* &quot;-&quot;??_);_(@_)"/>
    </dxf>
    <dxf>
      <numFmt numFmtId="1" formatCode="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0" formatCode="General"/>
    </dxf>
    <dxf>
      <numFmt numFmtId="0" formatCode="General"/>
    </dxf>
    <dxf>
      <numFmt numFmtId="0" formatCode="General"/>
    </dxf>
    <dxf>
      <numFmt numFmtId="19" formatCode="dd/mm/yy"/>
    </dxf>
    <dxf>
      <numFmt numFmtId="19" formatCode="dd/mm/yy"/>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 formatCode="0"/>
    </dxf>
    <dxf>
      <numFmt numFmtId="164" formatCode="_(* #,##0_);_(* \(#,##0\);_(* &quot;-&quot;??_);_(@_)"/>
    </dxf>
    <dxf>
      <numFmt numFmtId="164" formatCode="_(* #,##0_);_(* \(#,##0\);_(* &quot;-&quot;??_);_(@_)"/>
    </dxf>
    <dxf>
      <numFmt numFmtId="164" formatCode="_(* #,##0_);_(* \(#,##0\);_(* &quot;-&quot;??_);_(@_)"/>
    </dxf>
    <dxf>
      <numFmt numFmtId="14" formatCode="0.00%"/>
    </dxf>
    <dxf>
      <numFmt numFmtId="164" formatCode="_(* #,##0_);_(* \(#,##0\);_(* &quot;-&quot;??_);_(@_)"/>
    </dxf>
    <dxf>
      <font>
        <b/>
        <i val="0"/>
        <color theme="0"/>
      </font>
      <border>
        <bottom style="thin">
          <color theme="0"/>
        </bottom>
        <vertical/>
        <horizontal/>
      </border>
    </dxf>
    <dxf>
      <font>
        <color theme="1"/>
      </font>
      <fill>
        <patternFill>
          <bgColor rgb="FF182540"/>
        </patternFill>
      </fill>
      <border diagonalUp="1">
        <left/>
        <right/>
        <top/>
        <bottom style="thin">
          <color theme="0"/>
        </bottom>
        <diagonal style="thin">
          <color theme="0"/>
        </diagonal>
        <vertical/>
        <horizontal/>
      </border>
    </dxf>
  </dxfs>
  <tableStyles count="1" defaultTableStyle="TableStyleMedium2" defaultPivotStyle="PivotStyleLight16">
    <tableStyle name="SlicerStyleLight1 2" pivot="0" table="0" count="10" xr9:uid="{095192CE-66E9-4F6B-AB2D-3CDF437762EF}">
      <tableStyleElement type="wholeTable" dxfId="45"/>
      <tableStyleElement type="headerRow" dxfId="44"/>
    </tableStyle>
  </tableStyles>
  <colors>
    <mruColors>
      <color rgb="FFFFFEFE"/>
      <color rgb="FF182540"/>
      <color rgb="FF590202"/>
      <color rgb="FF7E002A"/>
      <color rgb="FF5C001F"/>
      <color rgb="FF6C0015"/>
      <color rgb="FF760000"/>
      <color rgb="FFA50021"/>
      <color rgb="FF990033"/>
      <color rgb="FF9E0000"/>
    </mruColors>
  </colors>
  <extLst>
    <ext xmlns:x14="http://schemas.microsoft.com/office/spreadsheetml/2009/9/main" uri="{46F421CA-312F-682f-3DD2-61675219B42D}">
      <x14:dxfs count="8">
        <dxf>
          <font>
            <b/>
            <i val="0"/>
            <color theme="0"/>
          </font>
          <fill>
            <gradientFill degree="90">
              <stop position="0">
                <color rgb="FFF8E162"/>
              </stop>
              <stop position="1">
                <color rgb="FFFCF7E0"/>
              </stop>
            </gradientFill>
          </fill>
          <border diagonalDown="1">
            <left style="thin">
              <color theme="0"/>
            </left>
            <right style="thin">
              <color theme="0"/>
            </right>
            <top style="thin">
              <color theme="0"/>
            </top>
            <bottom style="thin">
              <color theme="0"/>
            </bottom>
            <diagonal style="thin">
              <color theme="0"/>
            </diagonal>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auto="1"/>
              <bgColor rgb="FF760000"/>
            </patternFill>
          </fill>
          <border>
            <left style="thin">
              <color theme="0"/>
            </left>
            <right style="thin">
              <color theme="0"/>
            </right>
            <top style="thin">
              <color theme="0"/>
            </top>
            <bottom style="thin">
              <color theme="0"/>
            </bottom>
            <vertical/>
            <horizontal/>
          </border>
        </dxf>
        <dxf>
          <font>
            <b/>
            <i val="0"/>
            <color rgb="FFFFFEFE"/>
          </font>
          <fill>
            <patternFill patternType="solid">
              <fgColor auto="1"/>
              <bgColor rgb="FF6C0015"/>
            </patternFill>
          </fill>
          <border>
            <left style="thin">
              <color rgb="FF999999"/>
            </left>
            <right style="thin">
              <color rgb="FF999999"/>
            </right>
            <top style="thin">
              <color rgb="FF999999"/>
            </top>
            <bottom style="thin">
              <color rgb="FF999999"/>
            </bottom>
            <vertical/>
            <horizontal/>
          </border>
        </dxf>
        <dxf>
          <font>
            <b/>
            <i val="0"/>
            <color theme="0"/>
          </font>
          <border>
            <left style="thin">
              <color theme="0"/>
            </left>
            <right style="thin">
              <color theme="0"/>
            </right>
            <top style="thin">
              <color theme="0"/>
            </top>
            <bottom style="thin">
              <color theme="0"/>
            </bottom>
            <vertical/>
            <horizontal/>
          </border>
        </dxf>
        <dxf>
          <font>
            <b/>
            <i val="0"/>
            <color theme="0"/>
          </font>
          <fill>
            <gradientFill degree="90">
              <stop position="0">
                <color rgb="FF182540"/>
              </stop>
              <stop position="1">
                <color rgb="FF182540"/>
              </stop>
            </gradientFill>
          </fill>
          <border diagonalUp="0" diagonalDown="0">
            <left style="thin">
              <color theme="0"/>
            </left>
            <right/>
            <top/>
            <bottom style="thin">
              <color theme="0"/>
            </bottom>
            <vertical/>
            <horizontal/>
          </border>
        </dxf>
        <dxf>
          <font>
            <color theme="0"/>
          </font>
          <fill>
            <patternFill patternType="solid">
              <fgColor rgb="FFFFFFFF"/>
              <bgColor rgb="FFFFFFFF"/>
            </patternFill>
          </fill>
          <border>
            <left style="thin">
              <color theme="0"/>
            </left>
            <right style="thin">
              <color theme="0"/>
            </right>
            <top style="thin">
              <color theme="0"/>
            </top>
            <bottom style="thin">
              <color them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microsoft.com/office/2007/relationships/slicerCache" Target="slicerCaches/slicerCache3.xml"/><Relationship Id="rId26" Type="http://schemas.openxmlformats.org/officeDocument/2006/relationships/customXml" Target="../customXml/item1.xml"/><Relationship Id="rId39" Type="http://schemas.openxmlformats.org/officeDocument/2006/relationships/customXml" Target="../customXml/item14.xml"/><Relationship Id="rId21" Type="http://schemas.openxmlformats.org/officeDocument/2006/relationships/styles" Target="styles.xml"/><Relationship Id="rId34" Type="http://schemas.openxmlformats.org/officeDocument/2006/relationships/customXml" Target="../customXml/item9.xml"/><Relationship Id="rId42" Type="http://schemas.openxmlformats.org/officeDocument/2006/relationships/customXml" Target="../customXml/item17.xml"/><Relationship Id="rId47" Type="http://schemas.openxmlformats.org/officeDocument/2006/relationships/customXml" Target="../customXml/item22.xml"/><Relationship Id="rId50" Type="http://schemas.openxmlformats.org/officeDocument/2006/relationships/customXml" Target="../customXml/item25.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microsoft.com/office/2007/relationships/slicerCache" Target="slicerCaches/slicerCache1.xml"/><Relationship Id="rId29" Type="http://schemas.openxmlformats.org/officeDocument/2006/relationships/customXml" Target="../customXml/item4.xml"/><Relationship Id="rId11" Type="http://schemas.openxmlformats.org/officeDocument/2006/relationships/pivotCacheDefinition" Target="pivotCache/pivotCacheDefinition7.xml"/><Relationship Id="rId24" Type="http://schemas.openxmlformats.org/officeDocument/2006/relationships/powerPivotData" Target="model/item.data"/><Relationship Id="rId32" Type="http://schemas.openxmlformats.org/officeDocument/2006/relationships/customXml" Target="../customXml/item7.xml"/><Relationship Id="rId37" Type="http://schemas.openxmlformats.org/officeDocument/2006/relationships/customXml" Target="../customXml/item12.xml"/><Relationship Id="rId40" Type="http://schemas.openxmlformats.org/officeDocument/2006/relationships/customXml" Target="../customXml/item15.xml"/><Relationship Id="rId45" Type="http://schemas.openxmlformats.org/officeDocument/2006/relationships/customXml" Target="../customXml/item20.xml"/><Relationship Id="rId53" Type="http://schemas.openxmlformats.org/officeDocument/2006/relationships/customXml" Target="../customXml/item28.xml"/><Relationship Id="rId5" Type="http://schemas.openxmlformats.org/officeDocument/2006/relationships/pivotCacheDefinition" Target="pivotCache/pivotCacheDefinition1.xml"/><Relationship Id="rId10" Type="http://schemas.openxmlformats.org/officeDocument/2006/relationships/pivotCacheDefinition" Target="pivotCache/pivotCacheDefinition6.xml"/><Relationship Id="rId19" Type="http://schemas.openxmlformats.org/officeDocument/2006/relationships/theme" Target="theme/theme1.xml"/><Relationship Id="rId31" Type="http://schemas.openxmlformats.org/officeDocument/2006/relationships/customXml" Target="../customXml/item6.xml"/><Relationship Id="rId44" Type="http://schemas.openxmlformats.org/officeDocument/2006/relationships/customXml" Target="../customXml/item19.xml"/><Relationship Id="rId52"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sharedStrings" Target="sharedStrings.xml"/><Relationship Id="rId27" Type="http://schemas.openxmlformats.org/officeDocument/2006/relationships/customXml" Target="../customXml/item2.xml"/><Relationship Id="rId30" Type="http://schemas.openxmlformats.org/officeDocument/2006/relationships/customXml" Target="../customXml/item5.xml"/><Relationship Id="rId35" Type="http://schemas.openxmlformats.org/officeDocument/2006/relationships/customXml" Target="../customXml/item10.xml"/><Relationship Id="rId43" Type="http://schemas.openxmlformats.org/officeDocument/2006/relationships/customXml" Target="../customXml/item18.xml"/><Relationship Id="rId48" Type="http://schemas.openxmlformats.org/officeDocument/2006/relationships/customXml" Target="../customXml/item23.xml"/><Relationship Id="rId8" Type="http://schemas.openxmlformats.org/officeDocument/2006/relationships/pivotCacheDefinition" Target="pivotCache/pivotCacheDefinition4.xml"/><Relationship Id="rId51"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microsoft.com/office/2007/relationships/slicerCache" Target="slicerCaches/slicerCache2.xml"/><Relationship Id="rId25" Type="http://schemas.openxmlformats.org/officeDocument/2006/relationships/calcChain" Target="calcChain.xml"/><Relationship Id="rId33" Type="http://schemas.openxmlformats.org/officeDocument/2006/relationships/customXml" Target="../customXml/item8.xml"/><Relationship Id="rId38" Type="http://schemas.openxmlformats.org/officeDocument/2006/relationships/customXml" Target="../customXml/item13.xml"/><Relationship Id="rId46" Type="http://schemas.openxmlformats.org/officeDocument/2006/relationships/customXml" Target="../customXml/item21.xml"/><Relationship Id="rId20" Type="http://schemas.openxmlformats.org/officeDocument/2006/relationships/connections" Target="connections.xml"/><Relationship Id="rId41" Type="http://schemas.openxmlformats.org/officeDocument/2006/relationships/customXml" Target="../customXml/item16.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openxmlformats.org/officeDocument/2006/relationships/sheetMetadata" Target="metadata.xml"/><Relationship Id="rId28" Type="http://schemas.openxmlformats.org/officeDocument/2006/relationships/customXml" Target="../customXml/item3.xml"/><Relationship Id="rId36" Type="http://schemas.openxmlformats.org/officeDocument/2006/relationships/customXml" Target="../customXml/item11.xml"/><Relationship Id="rId49" Type="http://schemas.openxmlformats.org/officeDocument/2006/relationships/customXml" Target="../customXml/item2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[Misuo-Ali Ashraf.xlsm]pivot_table!نسبه الطلبات</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182540"/>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ln>
                    <a:solidFill>
                      <a:schemeClr val="bg1"/>
                    </a:solidFill>
                  </a:ln>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82540"/>
          </a:solidFill>
          <a:ln w="19050">
            <a:noFill/>
          </a:ln>
          <a:effectLst/>
        </c:spPr>
      </c:pivotFmt>
      <c:pivotFmt>
        <c:idx val="6"/>
        <c:spPr>
          <a:solidFill>
            <a:schemeClr val="bg1">
              <a:lumMod val="50000"/>
            </a:schemeClr>
          </a:solidFill>
          <a:ln w="19050">
            <a:noFill/>
          </a:ln>
          <a:effectLst/>
        </c:spPr>
      </c:pivotFmt>
    </c:pivotFmts>
    <c:plotArea>
      <c:layout/>
      <c:pieChart>
        <c:varyColors val="1"/>
        <c:ser>
          <c:idx val="0"/>
          <c:order val="0"/>
          <c:tx>
            <c:strRef>
              <c:f>pivot_table!$K$28</c:f>
              <c:strCache>
                <c:ptCount val="1"/>
                <c:pt idx="0">
                  <c:v>Total</c:v>
                </c:pt>
              </c:strCache>
            </c:strRef>
          </c:tx>
          <c:spPr>
            <a:solidFill>
              <a:srgbClr val="182540"/>
            </a:solidFill>
            <a:ln>
              <a:noFill/>
            </a:ln>
          </c:spPr>
          <c:dPt>
            <c:idx val="0"/>
            <c:bubble3D val="0"/>
            <c:spPr>
              <a:solidFill>
                <a:srgbClr val="182540"/>
              </a:solidFill>
              <a:ln w="19050">
                <a:noFill/>
              </a:ln>
              <a:effectLst/>
            </c:spPr>
            <c:extLst>
              <c:ext xmlns:c16="http://schemas.microsoft.com/office/drawing/2014/chart" uri="{C3380CC4-5D6E-409C-BE32-E72D297353CC}">
                <c16:uniqueId val="{00000001-BB5A-438C-8AB0-24F63447A020}"/>
              </c:ext>
            </c:extLst>
          </c:dPt>
          <c:dPt>
            <c:idx val="1"/>
            <c:bubble3D val="0"/>
            <c:spPr>
              <a:solidFill>
                <a:schemeClr val="bg1">
                  <a:lumMod val="50000"/>
                </a:schemeClr>
              </a:solidFill>
              <a:ln w="19050">
                <a:noFill/>
              </a:ln>
              <a:effectLst/>
            </c:spPr>
            <c:extLst>
              <c:ext xmlns:c16="http://schemas.microsoft.com/office/drawing/2014/chart" uri="{C3380CC4-5D6E-409C-BE32-E72D297353CC}">
                <c16:uniqueId val="{00000003-BB5A-438C-8AB0-24F63447A020}"/>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ln>
                      <a:solidFill>
                        <a:schemeClr val="bg1"/>
                      </a:solidFill>
                    </a:ln>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pivot_table!$J$29:$J$30</c:f>
              <c:strCache>
                <c:ptCount val="2"/>
                <c:pt idx="0">
                  <c:v>في الموعد</c:v>
                </c:pt>
                <c:pt idx="1">
                  <c:v>متأخر</c:v>
                </c:pt>
              </c:strCache>
            </c:strRef>
          </c:cat>
          <c:val>
            <c:numRef>
              <c:f>pivot_table!$K$29:$K$30</c:f>
              <c:numCache>
                <c:formatCode>0.00%</c:formatCode>
                <c:ptCount val="2"/>
                <c:pt idx="0">
                  <c:v>0.44444444444444442</c:v>
                </c:pt>
                <c:pt idx="1">
                  <c:v>0.55555555555555558</c:v>
                </c:pt>
              </c:numCache>
            </c:numRef>
          </c:val>
          <c:extLst>
            <c:ext xmlns:c16="http://schemas.microsoft.com/office/drawing/2014/chart" uri="{C3380CC4-5D6E-409C-BE32-E72D297353CC}">
              <c16:uniqueId val="{00000004-BB5A-438C-8AB0-24F63447A020}"/>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6611320601033295"/>
          <c:y val="0.37566309442984436"/>
          <c:w val="0.19528810275883385"/>
          <c:h val="0.24867381114031126"/>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[Misuo-Ali Ashraf.xlsm]pivot_table!الافراد والشركات</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82540"/>
          </a:solidFill>
          <a:ln>
            <a:solidFill>
              <a:schemeClr val="bg1">
                <a:alpha val="44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ln>
                    <a:solidFill>
                      <a:schemeClr val="bg1"/>
                    </a:solidFill>
                  </a:ln>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750801904742941E-2"/>
          <c:y val="3.5208459519483142E-2"/>
          <c:w val="0.87889107611548556"/>
          <c:h val="0.84463764946048414"/>
        </c:manualLayout>
      </c:layout>
      <c:barChart>
        <c:barDir val="col"/>
        <c:grouping val="clustered"/>
        <c:varyColors val="0"/>
        <c:ser>
          <c:idx val="0"/>
          <c:order val="0"/>
          <c:tx>
            <c:strRef>
              <c:f>pivot_table!$O$28</c:f>
              <c:strCache>
                <c:ptCount val="1"/>
                <c:pt idx="0">
                  <c:v>Total</c:v>
                </c:pt>
              </c:strCache>
            </c:strRef>
          </c:tx>
          <c:spPr>
            <a:solidFill>
              <a:srgbClr val="182540"/>
            </a:solidFill>
            <a:ln>
              <a:solidFill>
                <a:schemeClr val="bg1">
                  <a:alpha val="44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ln>
                      <a:solidFill>
                        <a:schemeClr val="bg1"/>
                      </a:solidFill>
                    </a:ln>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pivot_table!$N$29:$N$30</c:f>
              <c:strCache>
                <c:ptCount val="2"/>
                <c:pt idx="0">
                  <c:v>أفراد</c:v>
                </c:pt>
                <c:pt idx="1">
                  <c:v>شركة</c:v>
                </c:pt>
              </c:strCache>
            </c:strRef>
          </c:cat>
          <c:val>
            <c:numRef>
              <c:f>pivot_table!$O$29:$O$30</c:f>
              <c:numCache>
                <c:formatCode>_(* #,##0_);_(* \(#,##0\);_(* "-"??_);_(@_)</c:formatCode>
                <c:ptCount val="2"/>
                <c:pt idx="0">
                  <c:v>91</c:v>
                </c:pt>
                <c:pt idx="1">
                  <c:v>35</c:v>
                </c:pt>
              </c:numCache>
            </c:numRef>
          </c:val>
          <c:extLst>
            <c:ext xmlns:c16="http://schemas.microsoft.com/office/drawing/2014/chart" uri="{C3380CC4-5D6E-409C-BE32-E72D297353CC}">
              <c16:uniqueId val="{00000000-F772-4160-BA27-F17C38773654}"/>
            </c:ext>
          </c:extLst>
        </c:ser>
        <c:dLbls>
          <c:showLegendKey val="0"/>
          <c:showVal val="0"/>
          <c:showCatName val="0"/>
          <c:showSerName val="0"/>
          <c:showPercent val="0"/>
          <c:showBubbleSize val="0"/>
        </c:dLbls>
        <c:gapWidth val="182"/>
        <c:axId val="1886902031"/>
        <c:axId val="1886878991"/>
      </c:barChart>
      <c:catAx>
        <c:axId val="188690203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886878991"/>
        <c:crosses val="autoZero"/>
        <c:auto val="1"/>
        <c:lblAlgn val="ctr"/>
        <c:lblOffset val="100"/>
        <c:noMultiLvlLbl val="0"/>
      </c:catAx>
      <c:valAx>
        <c:axId val="1886878991"/>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86902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[Misuo-Ali Ashraf.xlsm]pivot_table!المنتجات المباعه حسب منصه</c:name>
    <c:fmtId val="18"/>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182540"/>
          </a:solidFill>
          <a:ln>
            <a:solidFill>
              <a:schemeClr val="bg1">
                <a:alpha val="44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ln>
                    <a:solidFill>
                      <a:schemeClr val="bg1"/>
                    </a:solidFill>
                  </a:ln>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pivot_table!$L$2</c:f>
              <c:strCache>
                <c:ptCount val="1"/>
                <c:pt idx="0">
                  <c:v>Total</c:v>
                </c:pt>
              </c:strCache>
            </c:strRef>
          </c:tx>
          <c:spPr>
            <a:solidFill>
              <a:srgbClr val="182540"/>
            </a:solidFill>
            <a:ln>
              <a:solidFill>
                <a:schemeClr val="bg1">
                  <a:alpha val="44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ln>
                      <a:solidFill>
                        <a:schemeClr val="bg1"/>
                      </a:solidFill>
                    </a:ln>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pivot_table!$K$3:$K$10</c:f>
              <c:strCache>
                <c:ptCount val="8"/>
                <c:pt idx="0">
                  <c:v>هومزمارت</c:v>
                </c:pt>
                <c:pt idx="1">
                  <c:v>شيك هومز</c:v>
                </c:pt>
                <c:pt idx="2">
                  <c:v>اوسكار ريتن</c:v>
                </c:pt>
                <c:pt idx="3">
                  <c:v>تاكى</c:v>
                </c:pt>
                <c:pt idx="4">
                  <c:v>السويس</c:v>
                </c:pt>
                <c:pt idx="5">
                  <c:v>فيسبوك</c:v>
                </c:pt>
                <c:pt idx="6">
                  <c:v>منزلى</c:v>
                </c:pt>
                <c:pt idx="7">
                  <c:v>كيمت</c:v>
                </c:pt>
              </c:strCache>
            </c:strRef>
          </c:cat>
          <c:val>
            <c:numRef>
              <c:f>pivot_table!$L$3:$L$10</c:f>
              <c:numCache>
                <c:formatCode>0</c:formatCode>
                <c:ptCount val="8"/>
                <c:pt idx="0">
                  <c:v>78</c:v>
                </c:pt>
                <c:pt idx="1">
                  <c:v>16</c:v>
                </c:pt>
                <c:pt idx="2">
                  <c:v>13</c:v>
                </c:pt>
                <c:pt idx="3">
                  <c:v>9</c:v>
                </c:pt>
                <c:pt idx="4">
                  <c:v>4</c:v>
                </c:pt>
                <c:pt idx="5">
                  <c:v>3</c:v>
                </c:pt>
                <c:pt idx="6">
                  <c:v>2</c:v>
                </c:pt>
                <c:pt idx="7">
                  <c:v>1</c:v>
                </c:pt>
              </c:numCache>
            </c:numRef>
          </c:val>
          <c:extLst>
            <c:ext xmlns:c16="http://schemas.microsoft.com/office/drawing/2014/chart" uri="{C3380CC4-5D6E-409C-BE32-E72D297353CC}">
              <c16:uniqueId val="{00000000-4608-4327-8F49-B590D5A8B421}"/>
            </c:ext>
          </c:extLst>
        </c:ser>
        <c:dLbls>
          <c:showLegendKey val="0"/>
          <c:showVal val="0"/>
          <c:showCatName val="0"/>
          <c:showSerName val="0"/>
          <c:showPercent val="0"/>
          <c:showBubbleSize val="0"/>
        </c:dLbls>
        <c:gapWidth val="182"/>
        <c:axId val="145993520"/>
        <c:axId val="145973360"/>
      </c:barChart>
      <c:catAx>
        <c:axId val="1459935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145973360"/>
        <c:crosses val="autoZero"/>
        <c:auto val="1"/>
        <c:lblAlgn val="ctr"/>
        <c:lblOffset val="100"/>
        <c:noMultiLvlLbl val="0"/>
      </c:catAx>
      <c:valAx>
        <c:axId val="14597336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5993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[Misuo-Ali Ashraf.xlsm]pivot_table!PivotTable1</c:name>
    <c:fmtId val="12"/>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1">
              <a:lumMod val="50000"/>
            </a:schemeClr>
          </a:solidFill>
          <a:ln>
            <a:solidFill>
              <a:srgbClr val="FFFEFE"/>
            </a:solidFill>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82540"/>
          </a:solidFill>
          <a:ln>
            <a:solidFill>
              <a:srgbClr val="FFFEFE">
                <a:alpha val="44000"/>
              </a:srgbClr>
            </a:solidFill>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dLbl>
          <c:idx val="0"/>
          <c:layout>
            <c:manualLayout>
              <c:x val="1.4018687462304081E-2"/>
              <c:y val="-2.022471194383369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182540"/>
          </a:solidFill>
          <a:ln>
            <a:solidFill>
              <a:schemeClr val="bg1">
                <a:alpha val="44000"/>
              </a:schemeClr>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ln>
                    <a:solidFill>
                      <a:schemeClr val="bg1"/>
                    </a:solidFill>
                  </a:ln>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pivot_table!$L$43:$L$44</c:f>
              <c:strCache>
                <c:ptCount val="1"/>
                <c:pt idx="0">
                  <c:v>في الموعد</c:v>
                </c:pt>
              </c:strCache>
            </c:strRef>
          </c:tx>
          <c:spPr>
            <a:solidFill>
              <a:srgbClr val="182540"/>
            </a:solidFill>
            <a:ln>
              <a:solidFill>
                <a:schemeClr val="bg1">
                  <a:alpha val="44000"/>
                </a:schemeClr>
              </a:solid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ln>
                      <a:solidFill>
                        <a:schemeClr val="bg1"/>
                      </a:solidFill>
                    </a:ln>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pivot_table!$K$45:$K$49</c:f>
              <c:strCache>
                <c:ptCount val="5"/>
                <c:pt idx="0">
                  <c:v>تم التسليم محمود على</c:v>
                </c:pt>
                <c:pt idx="1">
                  <c:v>تم التسليم عن طريق شركه شحن</c:v>
                </c:pt>
                <c:pt idx="2">
                  <c:v>تم التسليم بمعرفه الحج سيد</c:v>
                </c:pt>
                <c:pt idx="3">
                  <c:v>تم تسليم العميل عن طريق شركه شحن</c:v>
                </c:pt>
                <c:pt idx="4">
                  <c:v>تم التسليم م محمد</c:v>
                </c:pt>
              </c:strCache>
            </c:strRef>
          </c:cat>
          <c:val>
            <c:numRef>
              <c:f>pivot_table!$L$45:$L$49</c:f>
              <c:numCache>
                <c:formatCode>_(* #,##0_);_(* \(#,##0\);_(* "-"??_);_(@_)</c:formatCode>
                <c:ptCount val="5"/>
                <c:pt idx="0">
                  <c:v>33</c:v>
                </c:pt>
                <c:pt idx="1">
                  <c:v>5</c:v>
                </c:pt>
                <c:pt idx="2">
                  <c:v>4</c:v>
                </c:pt>
                <c:pt idx="3">
                  <c:v>1</c:v>
                </c:pt>
                <c:pt idx="4">
                  <c:v>1</c:v>
                </c:pt>
              </c:numCache>
            </c:numRef>
          </c:val>
          <c:extLst>
            <c:ext xmlns:c16="http://schemas.microsoft.com/office/drawing/2014/chart" uri="{C3380CC4-5D6E-409C-BE32-E72D297353CC}">
              <c16:uniqueId val="{00000008-B203-49D4-8265-BDB941CB685B}"/>
            </c:ext>
          </c:extLst>
        </c:ser>
        <c:dLbls>
          <c:showLegendKey val="0"/>
          <c:showVal val="0"/>
          <c:showCatName val="0"/>
          <c:showSerName val="0"/>
          <c:showPercent val="0"/>
          <c:showBubbleSize val="0"/>
        </c:dLbls>
        <c:gapWidth val="182"/>
        <c:axId val="1941391040"/>
        <c:axId val="1941391520"/>
      </c:barChart>
      <c:catAx>
        <c:axId val="19413910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ln>
                  <a:noFill/>
                </a:ln>
                <a:solidFill>
                  <a:schemeClr val="bg1"/>
                </a:solidFill>
                <a:latin typeface="+mn-lt"/>
                <a:ea typeface="+mn-ea"/>
                <a:cs typeface="+mn-cs"/>
              </a:defRPr>
            </a:pPr>
            <a:endParaRPr lang="en-US"/>
          </a:p>
        </c:txPr>
        <c:crossAx val="1941391520"/>
        <c:crosses val="autoZero"/>
        <c:auto val="1"/>
        <c:lblAlgn val="ctr"/>
        <c:lblOffset val="100"/>
        <c:noMultiLvlLbl val="0"/>
      </c:catAx>
      <c:valAx>
        <c:axId val="1941391520"/>
        <c:scaling>
          <c:orientation val="minMax"/>
        </c:scaling>
        <c:delete val="0"/>
        <c:axPos val="b"/>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crossAx val="1941391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chart" Target="../charts/chart4.xml"/><Relationship Id="rId2" Type="http://schemas.openxmlformats.org/officeDocument/2006/relationships/image" Target="../media/image1.jpeg"/><Relationship Id="rId1" Type="http://schemas.openxmlformats.org/officeDocument/2006/relationships/hyperlink" Target="#&#1605;&#1575;&#1587;&#1610;&#1608;!A1"/><Relationship Id="rId6" Type="http://schemas.openxmlformats.org/officeDocument/2006/relationships/image" Target="../media/image5.png"/><Relationship Id="rId11" Type="http://schemas.openxmlformats.org/officeDocument/2006/relationships/chart" Target="../charts/chart3.xml"/><Relationship Id="rId5" Type="http://schemas.openxmlformats.org/officeDocument/2006/relationships/image" Target="../media/image4.png"/><Relationship Id="rId10" Type="http://schemas.openxmlformats.org/officeDocument/2006/relationships/chart" Target="../charts/chart2.xml"/><Relationship Id="rId4" Type="http://schemas.openxmlformats.org/officeDocument/2006/relationships/image" Target="../media/image3.png"/><Relationship Id="rId9"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85725</xdr:colOff>
      <xdr:row>0</xdr:row>
      <xdr:rowOff>9525</xdr:rowOff>
    </xdr:from>
    <xdr:to>
      <xdr:col>21</xdr:col>
      <xdr:colOff>200025</xdr:colOff>
      <xdr:row>5</xdr:row>
      <xdr:rowOff>28575</xdr:rowOff>
    </xdr:to>
    <xdr:sp macro="" textlink="">
      <xdr:nvSpPr>
        <xdr:cNvPr id="4" name="Rectangle: Rounded Corners 3">
          <a:extLst>
            <a:ext uri="{FF2B5EF4-FFF2-40B4-BE49-F238E27FC236}">
              <a16:creationId xmlns:a16="http://schemas.microsoft.com/office/drawing/2014/main" id="{4F6627DC-1A39-6667-1B53-35D8E79C8237}"/>
            </a:ext>
          </a:extLst>
        </xdr:cNvPr>
        <xdr:cNvSpPr/>
      </xdr:nvSpPr>
      <xdr:spPr>
        <a:xfrm>
          <a:off x="4352925" y="9525"/>
          <a:ext cx="8648700" cy="971550"/>
        </a:xfrm>
        <a:prstGeom prst="roundRect">
          <a:avLst/>
        </a:prstGeom>
        <a:solidFill>
          <a:srgbClr val="590202"/>
        </a:solid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3000" b="1"/>
        </a:p>
      </xdr:txBody>
    </xdr:sp>
    <xdr:clientData/>
  </xdr:twoCellAnchor>
  <xdr:twoCellAnchor>
    <xdr:from>
      <xdr:col>7</xdr:col>
      <xdr:colOff>142875</xdr:colOff>
      <xdr:row>13</xdr:row>
      <xdr:rowOff>171450</xdr:rowOff>
    </xdr:from>
    <xdr:to>
      <xdr:col>10</xdr:col>
      <xdr:colOff>409575</xdr:colOff>
      <xdr:row>19</xdr:row>
      <xdr:rowOff>0</xdr:rowOff>
    </xdr:to>
    <xdr:sp macro="" textlink="">
      <xdr:nvSpPr>
        <xdr:cNvPr id="5" name="Rectangle: Rounded Corners 4">
          <a:extLst>
            <a:ext uri="{FF2B5EF4-FFF2-40B4-BE49-F238E27FC236}">
              <a16:creationId xmlns:a16="http://schemas.microsoft.com/office/drawing/2014/main" id="{42398A94-BD16-493A-BD3B-98D48A67E0C8}"/>
            </a:ext>
          </a:extLst>
        </xdr:cNvPr>
        <xdr:cNvSpPr/>
      </xdr:nvSpPr>
      <xdr:spPr>
        <a:xfrm>
          <a:off x="4410075" y="2647950"/>
          <a:ext cx="2095500" cy="971550"/>
        </a:xfrm>
        <a:prstGeom prst="roundRect">
          <a:avLst/>
        </a:prstGeom>
        <a:solidFill>
          <a:srgbClr val="590202"/>
        </a:solid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000" b="1">
            <a:solidFill>
              <a:schemeClr val="lt1"/>
            </a:solidFill>
            <a:latin typeface="+mn-lt"/>
            <a:ea typeface="+mn-ea"/>
            <a:cs typeface="+mn-cs"/>
          </a:endParaRPr>
        </a:p>
      </xdr:txBody>
    </xdr:sp>
    <xdr:clientData/>
  </xdr:twoCellAnchor>
  <xdr:twoCellAnchor>
    <xdr:from>
      <xdr:col>7</xdr:col>
      <xdr:colOff>142875</xdr:colOff>
      <xdr:row>6</xdr:row>
      <xdr:rowOff>47625</xdr:rowOff>
    </xdr:from>
    <xdr:to>
      <xdr:col>10</xdr:col>
      <xdr:colOff>409575</xdr:colOff>
      <xdr:row>11</xdr:row>
      <xdr:rowOff>66675</xdr:rowOff>
    </xdr:to>
    <xdr:sp macro="" textlink="">
      <xdr:nvSpPr>
        <xdr:cNvPr id="6" name="Rectangle: Rounded Corners 5">
          <a:extLst>
            <a:ext uri="{FF2B5EF4-FFF2-40B4-BE49-F238E27FC236}">
              <a16:creationId xmlns:a16="http://schemas.microsoft.com/office/drawing/2014/main" id="{B9F14751-8163-4364-8DC8-743B60280EFC}"/>
            </a:ext>
          </a:extLst>
        </xdr:cNvPr>
        <xdr:cNvSpPr/>
      </xdr:nvSpPr>
      <xdr:spPr>
        <a:xfrm>
          <a:off x="4410075" y="1190625"/>
          <a:ext cx="2095500" cy="971550"/>
        </a:xfrm>
        <a:prstGeom prst="roundRect">
          <a:avLst/>
        </a:prstGeom>
        <a:solidFill>
          <a:srgbClr val="590202"/>
        </a:solid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000" b="1">
            <a:solidFill>
              <a:schemeClr val="lt1"/>
            </a:solidFill>
            <a:latin typeface="+mn-lt"/>
            <a:ea typeface="+mn-ea"/>
            <a:cs typeface="+mn-cs"/>
          </a:endParaRPr>
        </a:p>
      </xdr:txBody>
    </xdr:sp>
    <xdr:clientData/>
  </xdr:twoCellAnchor>
  <xdr:twoCellAnchor>
    <xdr:from>
      <xdr:col>12</xdr:col>
      <xdr:colOff>361950</xdr:colOff>
      <xdr:row>6</xdr:row>
      <xdr:rowOff>47625</xdr:rowOff>
    </xdr:from>
    <xdr:to>
      <xdr:col>16</xdr:col>
      <xdr:colOff>19050</xdr:colOff>
      <xdr:row>11</xdr:row>
      <xdr:rowOff>66675</xdr:rowOff>
    </xdr:to>
    <xdr:sp macro="" textlink="">
      <xdr:nvSpPr>
        <xdr:cNvPr id="7" name="Rectangle: Rounded Corners 6">
          <a:extLst>
            <a:ext uri="{FF2B5EF4-FFF2-40B4-BE49-F238E27FC236}">
              <a16:creationId xmlns:a16="http://schemas.microsoft.com/office/drawing/2014/main" id="{6499B8B6-FCB0-4B54-9BA6-72C367426208}"/>
            </a:ext>
          </a:extLst>
        </xdr:cNvPr>
        <xdr:cNvSpPr/>
      </xdr:nvSpPr>
      <xdr:spPr>
        <a:xfrm>
          <a:off x="7677150" y="1190625"/>
          <a:ext cx="2095500" cy="971550"/>
        </a:xfrm>
        <a:prstGeom prst="roundRect">
          <a:avLst/>
        </a:prstGeom>
        <a:solidFill>
          <a:srgbClr val="590202"/>
        </a:solidFill>
        <a:ln w="635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000" b="1">
            <a:solidFill>
              <a:schemeClr val="lt1"/>
            </a:solidFill>
            <a:latin typeface="+mn-lt"/>
            <a:ea typeface="+mn-ea"/>
            <a:cs typeface="+mn-cs"/>
          </a:endParaRPr>
        </a:p>
      </xdr:txBody>
    </xdr:sp>
    <xdr:clientData/>
  </xdr:twoCellAnchor>
  <xdr:twoCellAnchor>
    <xdr:from>
      <xdr:col>17</xdr:col>
      <xdr:colOff>581025</xdr:colOff>
      <xdr:row>6</xdr:row>
      <xdr:rowOff>47625</xdr:rowOff>
    </xdr:from>
    <xdr:to>
      <xdr:col>21</xdr:col>
      <xdr:colOff>238125</xdr:colOff>
      <xdr:row>11</xdr:row>
      <xdr:rowOff>66675</xdr:rowOff>
    </xdr:to>
    <xdr:sp macro="" textlink="">
      <xdr:nvSpPr>
        <xdr:cNvPr id="8" name="Rectangle: Rounded Corners 7">
          <a:extLst>
            <a:ext uri="{FF2B5EF4-FFF2-40B4-BE49-F238E27FC236}">
              <a16:creationId xmlns:a16="http://schemas.microsoft.com/office/drawing/2014/main" id="{598E89F0-A71D-4037-860C-E032E90E14F9}"/>
            </a:ext>
          </a:extLst>
        </xdr:cNvPr>
        <xdr:cNvSpPr/>
      </xdr:nvSpPr>
      <xdr:spPr>
        <a:xfrm>
          <a:off x="10944225" y="1190625"/>
          <a:ext cx="2095500" cy="971550"/>
        </a:xfrm>
        <a:prstGeom prst="roundRect">
          <a:avLst/>
        </a:prstGeom>
        <a:solidFill>
          <a:srgbClr val="590202"/>
        </a:solid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000" b="1">
            <a:solidFill>
              <a:schemeClr val="lt1"/>
            </a:solidFill>
            <a:latin typeface="+mn-lt"/>
            <a:ea typeface="+mn-ea"/>
            <a:cs typeface="+mn-cs"/>
          </a:endParaRPr>
        </a:p>
      </xdr:txBody>
    </xdr:sp>
    <xdr:clientData/>
  </xdr:twoCellAnchor>
  <xdr:twoCellAnchor>
    <xdr:from>
      <xdr:col>17</xdr:col>
      <xdr:colOff>581025</xdr:colOff>
      <xdr:row>13</xdr:row>
      <xdr:rowOff>171450</xdr:rowOff>
    </xdr:from>
    <xdr:to>
      <xdr:col>21</xdr:col>
      <xdr:colOff>238125</xdr:colOff>
      <xdr:row>19</xdr:row>
      <xdr:rowOff>0</xdr:rowOff>
    </xdr:to>
    <xdr:sp macro="" textlink="">
      <xdr:nvSpPr>
        <xdr:cNvPr id="9" name="Rectangle: Rounded Corners 8">
          <a:extLst>
            <a:ext uri="{FF2B5EF4-FFF2-40B4-BE49-F238E27FC236}">
              <a16:creationId xmlns:a16="http://schemas.microsoft.com/office/drawing/2014/main" id="{F9E4460C-A465-4BE1-8E00-366E072D3140}"/>
            </a:ext>
          </a:extLst>
        </xdr:cNvPr>
        <xdr:cNvSpPr/>
      </xdr:nvSpPr>
      <xdr:spPr>
        <a:xfrm>
          <a:off x="10944225" y="2647950"/>
          <a:ext cx="2095500" cy="971550"/>
        </a:xfrm>
        <a:prstGeom prst="roundRect">
          <a:avLst/>
        </a:prstGeom>
        <a:solidFill>
          <a:srgbClr val="590202"/>
        </a:solid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000" b="1">
            <a:solidFill>
              <a:schemeClr val="lt1"/>
            </a:solidFill>
            <a:latin typeface="+mn-lt"/>
            <a:ea typeface="+mn-ea"/>
            <a:cs typeface="+mn-cs"/>
          </a:endParaRPr>
        </a:p>
      </xdr:txBody>
    </xdr:sp>
    <xdr:clientData/>
  </xdr:twoCellAnchor>
  <xdr:twoCellAnchor>
    <xdr:from>
      <xdr:col>12</xdr:col>
      <xdr:colOff>385762</xdr:colOff>
      <xdr:row>13</xdr:row>
      <xdr:rowOff>171450</xdr:rowOff>
    </xdr:from>
    <xdr:to>
      <xdr:col>16</xdr:col>
      <xdr:colOff>42862</xdr:colOff>
      <xdr:row>19</xdr:row>
      <xdr:rowOff>0</xdr:rowOff>
    </xdr:to>
    <xdr:sp macro="" textlink="">
      <xdr:nvSpPr>
        <xdr:cNvPr id="10" name="Rectangle: Rounded Corners 9">
          <a:extLst>
            <a:ext uri="{FF2B5EF4-FFF2-40B4-BE49-F238E27FC236}">
              <a16:creationId xmlns:a16="http://schemas.microsoft.com/office/drawing/2014/main" id="{8F5088C1-C18A-4B65-84F6-8F1E6336EA6C}"/>
            </a:ext>
          </a:extLst>
        </xdr:cNvPr>
        <xdr:cNvSpPr/>
      </xdr:nvSpPr>
      <xdr:spPr>
        <a:xfrm>
          <a:off x="7700962" y="2647950"/>
          <a:ext cx="2095500" cy="971550"/>
        </a:xfrm>
        <a:prstGeom prst="roundRect">
          <a:avLst/>
        </a:prstGeom>
        <a:solidFill>
          <a:srgbClr val="590202"/>
        </a:solid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000" b="1">
            <a:solidFill>
              <a:schemeClr val="lt1"/>
            </a:solidFill>
            <a:latin typeface="+mn-lt"/>
            <a:ea typeface="+mn-ea"/>
            <a:cs typeface="+mn-cs"/>
          </a:endParaRPr>
        </a:p>
      </xdr:txBody>
    </xdr:sp>
    <xdr:clientData/>
  </xdr:twoCellAnchor>
  <xdr:twoCellAnchor>
    <xdr:from>
      <xdr:col>0</xdr:col>
      <xdr:colOff>0</xdr:colOff>
      <xdr:row>0</xdr:row>
      <xdr:rowOff>0</xdr:rowOff>
    </xdr:from>
    <xdr:to>
      <xdr:col>4</xdr:col>
      <xdr:colOff>152400</xdr:colOff>
      <xdr:row>37</xdr:row>
      <xdr:rowOff>158750</xdr:rowOff>
    </xdr:to>
    <xdr:sp macro="" textlink="">
      <xdr:nvSpPr>
        <xdr:cNvPr id="11" name="Rectangle: Rounded Corners 10">
          <a:extLst>
            <a:ext uri="{FF2B5EF4-FFF2-40B4-BE49-F238E27FC236}">
              <a16:creationId xmlns:a16="http://schemas.microsoft.com/office/drawing/2014/main" id="{A2B93883-FCDA-4990-9F31-1D15E92CDE9C}"/>
            </a:ext>
          </a:extLst>
        </xdr:cNvPr>
        <xdr:cNvSpPr/>
      </xdr:nvSpPr>
      <xdr:spPr>
        <a:xfrm>
          <a:off x="0" y="0"/>
          <a:ext cx="2607733" cy="7207250"/>
        </a:xfrm>
        <a:prstGeom prst="roundRect">
          <a:avLst/>
        </a:prstGeom>
        <a:solidFill>
          <a:srgbClr val="590202"/>
        </a:solid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000" b="1">
            <a:solidFill>
              <a:schemeClr val="lt1"/>
            </a:solidFill>
            <a:latin typeface="+mn-lt"/>
            <a:ea typeface="+mn-ea"/>
            <a:cs typeface="+mn-cs"/>
          </a:endParaRPr>
        </a:p>
      </xdr:txBody>
    </xdr:sp>
    <xdr:clientData/>
  </xdr:twoCellAnchor>
  <xdr:twoCellAnchor editAs="oneCell">
    <xdr:from>
      <xdr:col>0</xdr:col>
      <xdr:colOff>437620</xdr:colOff>
      <xdr:row>0</xdr:row>
      <xdr:rowOff>66675</xdr:rowOff>
    </xdr:from>
    <xdr:to>
      <xdr:col>3</xdr:col>
      <xdr:colOff>209021</xdr:colOff>
      <xdr:row>8</xdr:row>
      <xdr:rowOff>142876</xdr:rowOff>
    </xdr:to>
    <xdr:pic>
      <xdr:nvPicPr>
        <xdr:cNvPr id="12" name="Picture 11">
          <a:hlinkClick xmlns:r="http://schemas.openxmlformats.org/officeDocument/2006/relationships" r:id="rId1"/>
          <a:extLst>
            <a:ext uri="{FF2B5EF4-FFF2-40B4-BE49-F238E27FC236}">
              <a16:creationId xmlns:a16="http://schemas.microsoft.com/office/drawing/2014/main" id="{E3D5D277-F945-455B-A33A-3E512137F72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37620" y="66675"/>
          <a:ext cx="1612901" cy="1600201"/>
        </a:xfrm>
        <a:prstGeom prst="ellipse">
          <a:avLst/>
        </a:prstGeom>
        <a:ln w="3175" cap="rnd">
          <a:solidFill>
            <a:schemeClr val="bg1"/>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10</xdr:col>
      <xdr:colOff>233156</xdr:colOff>
      <xdr:row>0</xdr:row>
      <xdr:rowOff>107259</xdr:rowOff>
    </xdr:from>
    <xdr:to>
      <xdr:col>18</xdr:col>
      <xdr:colOff>66675</xdr:colOff>
      <xdr:row>3</xdr:row>
      <xdr:rowOff>142875</xdr:rowOff>
    </xdr:to>
    <xdr:sp macro="" textlink="">
      <xdr:nvSpPr>
        <xdr:cNvPr id="14" name="TextBox 13">
          <a:extLst>
            <a:ext uri="{FF2B5EF4-FFF2-40B4-BE49-F238E27FC236}">
              <a16:creationId xmlns:a16="http://schemas.microsoft.com/office/drawing/2014/main" id="{9F2AB522-DFA0-8300-BB70-3CC8059E8E0B}"/>
            </a:ext>
          </a:extLst>
        </xdr:cNvPr>
        <xdr:cNvSpPr txBox="1"/>
      </xdr:nvSpPr>
      <xdr:spPr>
        <a:xfrm>
          <a:off x="6329156" y="107259"/>
          <a:ext cx="4710319" cy="607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000" b="1">
              <a:solidFill>
                <a:schemeClr val="bg1"/>
              </a:solidFill>
            </a:rPr>
            <a:t>Misuo</a:t>
          </a:r>
          <a:r>
            <a:rPr lang="en-US" sz="3000" b="1" baseline="0">
              <a:solidFill>
                <a:schemeClr val="bg1"/>
              </a:solidFill>
            </a:rPr>
            <a:t> Sales Analysis</a:t>
          </a:r>
          <a:endParaRPr lang="en-US" sz="3000" b="1">
            <a:solidFill>
              <a:schemeClr val="bg1"/>
            </a:solidFill>
          </a:endParaRPr>
        </a:p>
      </xdr:txBody>
    </xdr:sp>
    <xdr:clientData/>
  </xdr:twoCellAnchor>
  <xdr:twoCellAnchor>
    <xdr:from>
      <xdr:col>7</xdr:col>
      <xdr:colOff>281608</xdr:colOff>
      <xdr:row>6</xdr:row>
      <xdr:rowOff>58802</xdr:rowOff>
    </xdr:from>
    <xdr:to>
      <xdr:col>10</xdr:col>
      <xdr:colOff>298174</xdr:colOff>
      <xdr:row>7</xdr:row>
      <xdr:rowOff>154882</xdr:rowOff>
    </xdr:to>
    <xdr:sp macro="" textlink="">
      <xdr:nvSpPr>
        <xdr:cNvPr id="15" name="TextBox 14">
          <a:extLst>
            <a:ext uri="{FF2B5EF4-FFF2-40B4-BE49-F238E27FC236}">
              <a16:creationId xmlns:a16="http://schemas.microsoft.com/office/drawing/2014/main" id="{EBE98BA9-888D-43DF-8FD3-BF187E4B9163}"/>
            </a:ext>
          </a:extLst>
        </xdr:cNvPr>
        <xdr:cNvSpPr txBox="1"/>
      </xdr:nvSpPr>
      <xdr:spPr>
        <a:xfrm>
          <a:off x="4548808" y="1201802"/>
          <a:ext cx="1845366" cy="286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a:t>
          </a:r>
          <a:r>
            <a:rPr lang="en-US" sz="1400" b="1" baseline="0">
              <a:solidFill>
                <a:schemeClr val="bg1"/>
              </a:solidFill>
            </a:rPr>
            <a:t> Sales</a:t>
          </a:r>
        </a:p>
      </xdr:txBody>
    </xdr:sp>
    <xdr:clientData/>
  </xdr:twoCellAnchor>
  <xdr:twoCellAnchor>
    <xdr:from>
      <xdr:col>7</xdr:col>
      <xdr:colOff>132522</xdr:colOff>
      <xdr:row>8</xdr:row>
      <xdr:rowOff>78681</xdr:rowOff>
    </xdr:from>
    <xdr:to>
      <xdr:col>8</xdr:col>
      <xdr:colOff>604631</xdr:colOff>
      <xdr:row>9</xdr:row>
      <xdr:rowOff>121754</xdr:rowOff>
    </xdr:to>
    <xdr:sp macro="" textlink="pivot_table!$B$8">
      <xdr:nvSpPr>
        <xdr:cNvPr id="16" name="TextBox 15">
          <a:extLst>
            <a:ext uri="{FF2B5EF4-FFF2-40B4-BE49-F238E27FC236}">
              <a16:creationId xmlns:a16="http://schemas.microsoft.com/office/drawing/2014/main" id="{DCB03694-C6E6-4556-BDB0-6C40CA84C4CE}"/>
            </a:ext>
          </a:extLst>
        </xdr:cNvPr>
        <xdr:cNvSpPr txBox="1"/>
      </xdr:nvSpPr>
      <xdr:spPr>
        <a:xfrm>
          <a:off x="4399722" y="1602681"/>
          <a:ext cx="1081709" cy="233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BBF451-D10D-4A40-959A-94D0E03CDF72}" type="TxLink">
            <a:rPr lang="en-US" sz="1400" b="0" i="0" u="none" strike="noStrike" baseline="0">
              <a:ln>
                <a:solidFill>
                  <a:schemeClr val="bg1"/>
                </a:solidFill>
              </a:ln>
              <a:solidFill>
                <a:schemeClr val="bg1"/>
              </a:solidFill>
              <a:latin typeface="Calibri"/>
              <a:cs typeface="Calibri"/>
            </a:rPr>
            <a:pPr algn="ctr"/>
            <a:t> 1,037,179 </a:t>
          </a:fld>
          <a:endParaRPr lang="en-US" sz="1600" b="0" baseline="0">
            <a:ln>
              <a:solidFill>
                <a:schemeClr val="bg1"/>
              </a:solidFill>
            </a:ln>
            <a:solidFill>
              <a:schemeClr val="bg1"/>
            </a:solidFill>
          </a:endParaRPr>
        </a:p>
      </xdr:txBody>
    </xdr:sp>
    <xdr:clientData/>
  </xdr:twoCellAnchor>
  <xdr:twoCellAnchor editAs="oneCell">
    <xdr:from>
      <xdr:col>9</xdr:col>
      <xdr:colOff>488679</xdr:colOff>
      <xdr:row>7</xdr:row>
      <xdr:rowOff>62120</xdr:rowOff>
    </xdr:from>
    <xdr:to>
      <xdr:col>10</xdr:col>
      <xdr:colOff>389288</xdr:colOff>
      <xdr:row>10</xdr:row>
      <xdr:rowOff>45555</xdr:rowOff>
    </xdr:to>
    <xdr:pic>
      <xdr:nvPicPr>
        <xdr:cNvPr id="20" name="Picture 19">
          <a:extLst>
            <a:ext uri="{FF2B5EF4-FFF2-40B4-BE49-F238E27FC236}">
              <a16:creationId xmlns:a16="http://schemas.microsoft.com/office/drawing/2014/main" id="{1F9C4DED-321D-E493-EAA7-132480A38D7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75079" y="1395620"/>
          <a:ext cx="510209" cy="554935"/>
        </a:xfrm>
        <a:prstGeom prst="rect">
          <a:avLst/>
        </a:prstGeom>
      </xdr:spPr>
    </xdr:pic>
    <xdr:clientData/>
  </xdr:twoCellAnchor>
  <xdr:twoCellAnchor>
    <xdr:from>
      <xdr:col>12</xdr:col>
      <xdr:colOff>506895</xdr:colOff>
      <xdr:row>6</xdr:row>
      <xdr:rowOff>58802</xdr:rowOff>
    </xdr:from>
    <xdr:to>
      <xdr:col>15</xdr:col>
      <xdr:colOff>523461</xdr:colOff>
      <xdr:row>7</xdr:row>
      <xdr:rowOff>154882</xdr:rowOff>
    </xdr:to>
    <xdr:sp macro="" textlink="">
      <xdr:nvSpPr>
        <xdr:cNvPr id="21" name="TextBox 20">
          <a:extLst>
            <a:ext uri="{FF2B5EF4-FFF2-40B4-BE49-F238E27FC236}">
              <a16:creationId xmlns:a16="http://schemas.microsoft.com/office/drawing/2014/main" id="{000B547E-FC3C-4EAC-B390-C5BBC3DD86F8}"/>
            </a:ext>
          </a:extLst>
        </xdr:cNvPr>
        <xdr:cNvSpPr txBox="1"/>
      </xdr:nvSpPr>
      <xdr:spPr>
        <a:xfrm>
          <a:off x="7822095" y="1201802"/>
          <a:ext cx="1845366" cy="286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a:t>
          </a:r>
          <a:r>
            <a:rPr lang="en-US" sz="1400" b="1" baseline="0">
              <a:solidFill>
                <a:schemeClr val="bg1"/>
              </a:solidFill>
            </a:rPr>
            <a:t> Orders</a:t>
          </a:r>
        </a:p>
      </xdr:txBody>
    </xdr:sp>
    <xdr:clientData/>
  </xdr:twoCellAnchor>
  <xdr:twoCellAnchor>
    <xdr:from>
      <xdr:col>12</xdr:col>
      <xdr:colOff>361121</xdr:colOff>
      <xdr:row>8</xdr:row>
      <xdr:rowOff>78681</xdr:rowOff>
    </xdr:from>
    <xdr:to>
      <xdr:col>14</xdr:col>
      <xdr:colOff>220317</xdr:colOff>
      <xdr:row>9</xdr:row>
      <xdr:rowOff>121754</xdr:rowOff>
    </xdr:to>
    <xdr:sp macro="" textlink="pivot_table!F9">
      <xdr:nvSpPr>
        <xdr:cNvPr id="22" name="TextBox 21">
          <a:extLst>
            <a:ext uri="{FF2B5EF4-FFF2-40B4-BE49-F238E27FC236}">
              <a16:creationId xmlns:a16="http://schemas.microsoft.com/office/drawing/2014/main" id="{64DBC02C-5358-4613-B014-E2A22E265745}"/>
            </a:ext>
          </a:extLst>
        </xdr:cNvPr>
        <xdr:cNvSpPr txBox="1"/>
      </xdr:nvSpPr>
      <xdr:spPr>
        <a:xfrm>
          <a:off x="7676321" y="1602681"/>
          <a:ext cx="1078396" cy="233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C91AC79-C24A-4D6D-9552-D12B2B7526E6}" type="TxLink">
            <a:rPr lang="en-US" sz="1400" b="0" i="0" u="none" strike="noStrike" baseline="0">
              <a:ln>
                <a:solidFill>
                  <a:schemeClr val="bg1"/>
                </a:solidFill>
              </a:ln>
              <a:solidFill>
                <a:schemeClr val="bg1"/>
              </a:solidFill>
              <a:latin typeface="Calibri"/>
              <a:ea typeface="+mn-ea"/>
              <a:cs typeface="Calibri"/>
            </a:rPr>
            <a:pPr marL="0" indent="0" algn="ctr"/>
            <a:t> 126 </a:t>
          </a:fld>
          <a:endParaRPr lang="en-US" sz="1400" b="0" i="0" u="none" strike="noStrike" baseline="0">
            <a:ln>
              <a:solidFill>
                <a:schemeClr val="bg1"/>
              </a:solidFill>
            </a:ln>
            <a:solidFill>
              <a:schemeClr val="bg1"/>
            </a:solidFill>
            <a:latin typeface="Calibri"/>
            <a:ea typeface="+mn-ea"/>
            <a:cs typeface="Calibri"/>
          </a:endParaRPr>
        </a:p>
      </xdr:txBody>
    </xdr:sp>
    <xdr:clientData/>
  </xdr:twoCellAnchor>
  <xdr:twoCellAnchor editAs="oneCell">
    <xdr:from>
      <xdr:col>15</xdr:col>
      <xdr:colOff>109334</xdr:colOff>
      <xdr:row>7</xdr:row>
      <xdr:rowOff>70402</xdr:rowOff>
    </xdr:from>
    <xdr:to>
      <xdr:col>15</xdr:col>
      <xdr:colOff>602977</xdr:colOff>
      <xdr:row>10</xdr:row>
      <xdr:rowOff>37272</xdr:rowOff>
    </xdr:to>
    <xdr:pic>
      <xdr:nvPicPr>
        <xdr:cNvPr id="24" name="Picture 23">
          <a:extLst>
            <a:ext uri="{FF2B5EF4-FFF2-40B4-BE49-F238E27FC236}">
              <a16:creationId xmlns:a16="http://schemas.microsoft.com/office/drawing/2014/main" id="{6B5C4C69-1F5F-32DC-56D5-629959AF928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253334" y="1403902"/>
          <a:ext cx="493643" cy="538370"/>
        </a:xfrm>
        <a:prstGeom prst="rect">
          <a:avLst/>
        </a:prstGeom>
      </xdr:spPr>
    </xdr:pic>
    <xdr:clientData/>
  </xdr:twoCellAnchor>
  <xdr:twoCellAnchor>
    <xdr:from>
      <xdr:col>18</xdr:col>
      <xdr:colOff>122582</xdr:colOff>
      <xdr:row>6</xdr:row>
      <xdr:rowOff>58802</xdr:rowOff>
    </xdr:from>
    <xdr:to>
      <xdr:col>21</xdr:col>
      <xdr:colOff>139148</xdr:colOff>
      <xdr:row>7</xdr:row>
      <xdr:rowOff>154882</xdr:rowOff>
    </xdr:to>
    <xdr:sp macro="" textlink="">
      <xdr:nvSpPr>
        <xdr:cNvPr id="25" name="TextBox 24">
          <a:extLst>
            <a:ext uri="{FF2B5EF4-FFF2-40B4-BE49-F238E27FC236}">
              <a16:creationId xmlns:a16="http://schemas.microsoft.com/office/drawing/2014/main" id="{533C88C1-28ED-4512-8C3A-195DFFDA7A34}"/>
            </a:ext>
          </a:extLst>
        </xdr:cNvPr>
        <xdr:cNvSpPr txBox="1"/>
      </xdr:nvSpPr>
      <xdr:spPr>
        <a:xfrm>
          <a:off x="11095382" y="1201802"/>
          <a:ext cx="1845366" cy="286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Avg Sales</a:t>
          </a:r>
          <a:r>
            <a:rPr lang="en-US" sz="1400" b="1" baseline="0">
              <a:solidFill>
                <a:schemeClr val="bg1"/>
              </a:solidFill>
            </a:rPr>
            <a:t> Price</a:t>
          </a:r>
        </a:p>
      </xdr:txBody>
    </xdr:sp>
    <xdr:clientData/>
  </xdr:twoCellAnchor>
  <xdr:twoCellAnchor>
    <xdr:from>
      <xdr:col>17</xdr:col>
      <xdr:colOff>586407</xdr:colOff>
      <xdr:row>8</xdr:row>
      <xdr:rowOff>78681</xdr:rowOff>
    </xdr:from>
    <xdr:to>
      <xdr:col>19</xdr:col>
      <xdr:colOff>445603</xdr:colOff>
      <xdr:row>9</xdr:row>
      <xdr:rowOff>121754</xdr:rowOff>
    </xdr:to>
    <xdr:sp macro="" textlink="pivot_table!H9">
      <xdr:nvSpPr>
        <xdr:cNvPr id="26" name="TextBox 25">
          <a:extLst>
            <a:ext uri="{FF2B5EF4-FFF2-40B4-BE49-F238E27FC236}">
              <a16:creationId xmlns:a16="http://schemas.microsoft.com/office/drawing/2014/main" id="{D72D0821-2698-4D2F-ABDF-DC004CD67E9D}"/>
            </a:ext>
          </a:extLst>
        </xdr:cNvPr>
        <xdr:cNvSpPr txBox="1"/>
      </xdr:nvSpPr>
      <xdr:spPr>
        <a:xfrm>
          <a:off x="10949607" y="1602681"/>
          <a:ext cx="1078396" cy="233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5898192-781F-494C-BEBC-1E25D8EAF2EF}" type="TxLink">
            <a:rPr lang="en-US" sz="1400" b="0" i="0" u="none" strike="noStrike" baseline="0">
              <a:ln>
                <a:solidFill>
                  <a:schemeClr val="bg1"/>
                </a:solidFill>
              </a:ln>
              <a:solidFill>
                <a:schemeClr val="bg1"/>
              </a:solidFill>
              <a:latin typeface="Calibri"/>
              <a:ea typeface="+mn-ea"/>
              <a:cs typeface="Calibri"/>
            </a:rPr>
            <a:pPr marL="0" indent="0" algn="ctr"/>
            <a:t> 10,261 </a:t>
          </a:fld>
          <a:endParaRPr lang="en-US" sz="1400" b="0" i="0" u="none" strike="noStrike" baseline="0">
            <a:ln>
              <a:solidFill>
                <a:schemeClr val="bg1"/>
              </a:solidFill>
            </a:ln>
            <a:solidFill>
              <a:schemeClr val="bg1"/>
            </a:solidFill>
            <a:latin typeface="Calibri"/>
            <a:ea typeface="+mn-ea"/>
            <a:cs typeface="Calibri"/>
          </a:endParaRPr>
        </a:p>
      </xdr:txBody>
    </xdr:sp>
    <xdr:clientData/>
  </xdr:twoCellAnchor>
  <xdr:twoCellAnchor editAs="oneCell">
    <xdr:from>
      <xdr:col>20</xdr:col>
      <xdr:colOff>323024</xdr:colOff>
      <xdr:row>7</xdr:row>
      <xdr:rowOff>82826</xdr:rowOff>
    </xdr:from>
    <xdr:to>
      <xdr:col>21</xdr:col>
      <xdr:colOff>223633</xdr:colOff>
      <xdr:row>10</xdr:row>
      <xdr:rowOff>24848</xdr:rowOff>
    </xdr:to>
    <xdr:pic>
      <xdr:nvPicPr>
        <xdr:cNvPr id="28" name="Picture 27">
          <a:extLst>
            <a:ext uri="{FF2B5EF4-FFF2-40B4-BE49-F238E27FC236}">
              <a16:creationId xmlns:a16="http://schemas.microsoft.com/office/drawing/2014/main" id="{41B797C6-D33B-588C-41FD-12855BF2B5E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515024" y="1416326"/>
          <a:ext cx="510209" cy="513522"/>
        </a:xfrm>
        <a:prstGeom prst="rect">
          <a:avLst/>
        </a:prstGeom>
      </xdr:spPr>
    </xdr:pic>
    <xdr:clientData/>
  </xdr:twoCellAnchor>
  <xdr:twoCellAnchor>
    <xdr:from>
      <xdr:col>18</xdr:col>
      <xdr:colOff>113882</xdr:colOff>
      <xdr:row>13</xdr:row>
      <xdr:rowOff>181385</xdr:rowOff>
    </xdr:from>
    <xdr:to>
      <xdr:col>21</xdr:col>
      <xdr:colOff>130448</xdr:colOff>
      <xdr:row>15</xdr:row>
      <xdr:rowOff>86965</xdr:rowOff>
    </xdr:to>
    <xdr:sp macro="" textlink="">
      <xdr:nvSpPr>
        <xdr:cNvPr id="29" name="TextBox 28">
          <a:extLst>
            <a:ext uri="{FF2B5EF4-FFF2-40B4-BE49-F238E27FC236}">
              <a16:creationId xmlns:a16="http://schemas.microsoft.com/office/drawing/2014/main" id="{BC506218-20E2-4C26-896B-A8FF2B6B9926}"/>
            </a:ext>
          </a:extLst>
        </xdr:cNvPr>
        <xdr:cNvSpPr txBox="1"/>
      </xdr:nvSpPr>
      <xdr:spPr>
        <a:xfrm>
          <a:off x="11086682" y="2657885"/>
          <a:ext cx="1845366" cy="286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BestSelling City</a:t>
          </a:r>
        </a:p>
        <a:p>
          <a:pPr algn="ctr"/>
          <a:br>
            <a:rPr lang="en-US" sz="1400" b="1">
              <a:solidFill>
                <a:schemeClr val="bg1"/>
              </a:solidFill>
            </a:rPr>
          </a:br>
          <a:endParaRPr lang="en-US" sz="1400" b="1" baseline="0">
            <a:solidFill>
              <a:schemeClr val="bg1"/>
            </a:solidFill>
          </a:endParaRPr>
        </a:p>
      </xdr:txBody>
    </xdr:sp>
    <xdr:clientData/>
  </xdr:twoCellAnchor>
  <xdr:twoCellAnchor>
    <xdr:from>
      <xdr:col>12</xdr:col>
      <xdr:colOff>525528</xdr:colOff>
      <xdr:row>13</xdr:row>
      <xdr:rowOff>181385</xdr:rowOff>
    </xdr:from>
    <xdr:to>
      <xdr:col>15</xdr:col>
      <xdr:colOff>542094</xdr:colOff>
      <xdr:row>15</xdr:row>
      <xdr:rowOff>86965</xdr:rowOff>
    </xdr:to>
    <xdr:sp macro="" textlink="">
      <xdr:nvSpPr>
        <xdr:cNvPr id="30" name="TextBox 29">
          <a:extLst>
            <a:ext uri="{FF2B5EF4-FFF2-40B4-BE49-F238E27FC236}">
              <a16:creationId xmlns:a16="http://schemas.microsoft.com/office/drawing/2014/main" id="{D078468E-858C-49DA-BD8D-E0BE353C3473}"/>
            </a:ext>
          </a:extLst>
        </xdr:cNvPr>
        <xdr:cNvSpPr txBox="1"/>
      </xdr:nvSpPr>
      <xdr:spPr>
        <a:xfrm>
          <a:off x="7840728" y="2657885"/>
          <a:ext cx="1845366" cy="286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BestSelling Color</a:t>
          </a:r>
          <a:endParaRPr lang="en-US" sz="1400" b="1" baseline="0">
            <a:solidFill>
              <a:schemeClr val="bg1"/>
            </a:solidFill>
          </a:endParaRPr>
        </a:p>
      </xdr:txBody>
    </xdr:sp>
    <xdr:clientData/>
  </xdr:twoCellAnchor>
  <xdr:twoCellAnchor>
    <xdr:from>
      <xdr:col>7</xdr:col>
      <xdr:colOff>279950</xdr:colOff>
      <xdr:row>13</xdr:row>
      <xdr:rowOff>181385</xdr:rowOff>
    </xdr:from>
    <xdr:to>
      <xdr:col>10</xdr:col>
      <xdr:colOff>296516</xdr:colOff>
      <xdr:row>15</xdr:row>
      <xdr:rowOff>86965</xdr:rowOff>
    </xdr:to>
    <xdr:sp macro="" textlink="">
      <xdr:nvSpPr>
        <xdr:cNvPr id="31" name="TextBox 30">
          <a:extLst>
            <a:ext uri="{FF2B5EF4-FFF2-40B4-BE49-F238E27FC236}">
              <a16:creationId xmlns:a16="http://schemas.microsoft.com/office/drawing/2014/main" id="{782BD75B-58E9-4115-99BC-8DC60FE9099D}"/>
            </a:ext>
          </a:extLst>
        </xdr:cNvPr>
        <xdr:cNvSpPr txBox="1"/>
      </xdr:nvSpPr>
      <xdr:spPr>
        <a:xfrm>
          <a:off x="4547150" y="2657885"/>
          <a:ext cx="1845366" cy="286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BestSelling Product</a:t>
          </a:r>
        </a:p>
        <a:p>
          <a:pPr algn="ctr"/>
          <a:br>
            <a:rPr lang="en-US" sz="1400" b="1">
              <a:solidFill>
                <a:schemeClr val="bg1"/>
              </a:solidFill>
            </a:rPr>
          </a:br>
          <a:endParaRPr lang="en-US" sz="1400" b="1" baseline="0">
            <a:solidFill>
              <a:schemeClr val="bg1"/>
            </a:solidFill>
          </a:endParaRPr>
        </a:p>
      </xdr:txBody>
    </xdr:sp>
    <xdr:clientData/>
  </xdr:twoCellAnchor>
  <xdr:twoCellAnchor>
    <xdr:from>
      <xdr:col>7</xdr:col>
      <xdr:colOff>144119</xdr:colOff>
      <xdr:row>16</xdr:row>
      <xdr:rowOff>21532</xdr:rowOff>
    </xdr:from>
    <xdr:to>
      <xdr:col>9</xdr:col>
      <xdr:colOff>6628</xdr:colOff>
      <xdr:row>17</xdr:row>
      <xdr:rowOff>64605</xdr:rowOff>
    </xdr:to>
    <xdr:sp macro="" textlink="pivot_table!B27">
      <xdr:nvSpPr>
        <xdr:cNvPr id="33" name="TextBox 32">
          <a:extLst>
            <a:ext uri="{FF2B5EF4-FFF2-40B4-BE49-F238E27FC236}">
              <a16:creationId xmlns:a16="http://schemas.microsoft.com/office/drawing/2014/main" id="{6A71EBAA-B548-4159-A703-D8F35A155CFA}"/>
            </a:ext>
          </a:extLst>
        </xdr:cNvPr>
        <xdr:cNvSpPr txBox="1"/>
      </xdr:nvSpPr>
      <xdr:spPr>
        <a:xfrm>
          <a:off x="4411319" y="3069532"/>
          <a:ext cx="1081709" cy="233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29FFCF-BCB2-4A5A-88D4-105D1207AC9C}" type="TxLink">
            <a:rPr lang="ar-EG" sz="1400" b="1" i="0" u="none" strike="noStrike" baseline="0">
              <a:solidFill>
                <a:schemeClr val="bg1"/>
              </a:solidFill>
              <a:latin typeface="Calibri"/>
              <a:ea typeface="+mn-ea"/>
              <a:cs typeface="Calibri"/>
            </a:rPr>
            <a:pPr marL="0" indent="0" algn="ctr"/>
            <a:t>سرير</a:t>
          </a:fld>
          <a:endParaRPr lang="en-US" sz="1400" b="1" i="0" u="none" strike="noStrike" baseline="0">
            <a:solidFill>
              <a:schemeClr val="bg1"/>
            </a:solidFill>
            <a:latin typeface="Calibri"/>
            <a:ea typeface="+mn-ea"/>
            <a:cs typeface="Calibri"/>
          </a:endParaRPr>
        </a:p>
      </xdr:txBody>
    </xdr:sp>
    <xdr:clientData/>
  </xdr:twoCellAnchor>
  <xdr:twoCellAnchor editAs="oneCell">
    <xdr:from>
      <xdr:col>9</xdr:col>
      <xdr:colOff>394254</xdr:colOff>
      <xdr:row>15</xdr:row>
      <xdr:rowOff>53838</xdr:rowOff>
    </xdr:from>
    <xdr:to>
      <xdr:col>10</xdr:col>
      <xdr:colOff>394254</xdr:colOff>
      <xdr:row>18</xdr:row>
      <xdr:rowOff>95251</xdr:rowOff>
    </xdr:to>
    <xdr:pic>
      <xdr:nvPicPr>
        <xdr:cNvPr id="35" name="Picture 34">
          <a:extLst>
            <a:ext uri="{FF2B5EF4-FFF2-40B4-BE49-F238E27FC236}">
              <a16:creationId xmlns:a16="http://schemas.microsoft.com/office/drawing/2014/main" id="{8B1991E4-9062-B00E-0ECA-31414486852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880654" y="2911338"/>
          <a:ext cx="609600" cy="612913"/>
        </a:xfrm>
        <a:prstGeom prst="rect">
          <a:avLst/>
        </a:prstGeom>
      </xdr:spPr>
    </xdr:pic>
    <xdr:clientData/>
  </xdr:twoCellAnchor>
  <xdr:twoCellAnchor editAs="oneCell">
    <xdr:from>
      <xdr:col>15</xdr:col>
      <xdr:colOff>87385</xdr:colOff>
      <xdr:row>15</xdr:row>
      <xdr:rowOff>66262</xdr:rowOff>
    </xdr:from>
    <xdr:to>
      <xdr:col>16</xdr:col>
      <xdr:colOff>62537</xdr:colOff>
      <xdr:row>18</xdr:row>
      <xdr:rowOff>82827</xdr:rowOff>
    </xdr:to>
    <xdr:pic>
      <xdr:nvPicPr>
        <xdr:cNvPr id="37" name="Picture 36">
          <a:extLst>
            <a:ext uri="{FF2B5EF4-FFF2-40B4-BE49-F238E27FC236}">
              <a16:creationId xmlns:a16="http://schemas.microsoft.com/office/drawing/2014/main" id="{D144F7B2-AB1F-268D-4FA9-2068128B9F7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231385" y="2923762"/>
          <a:ext cx="584752" cy="588065"/>
        </a:xfrm>
        <a:prstGeom prst="rect">
          <a:avLst/>
        </a:prstGeom>
      </xdr:spPr>
    </xdr:pic>
    <xdr:clientData/>
  </xdr:twoCellAnchor>
  <xdr:twoCellAnchor>
    <xdr:from>
      <xdr:col>12</xdr:col>
      <xdr:colOff>386385</xdr:colOff>
      <xdr:row>16</xdr:row>
      <xdr:rowOff>21532</xdr:rowOff>
    </xdr:from>
    <xdr:to>
      <xdr:col>14</xdr:col>
      <xdr:colOff>245581</xdr:colOff>
      <xdr:row>17</xdr:row>
      <xdr:rowOff>64605</xdr:rowOff>
    </xdr:to>
    <xdr:sp macro="" textlink="pivot_table!F33">
      <xdr:nvSpPr>
        <xdr:cNvPr id="38" name="TextBox 37">
          <a:extLst>
            <a:ext uri="{FF2B5EF4-FFF2-40B4-BE49-F238E27FC236}">
              <a16:creationId xmlns:a16="http://schemas.microsoft.com/office/drawing/2014/main" id="{0B68D61F-D0CE-4AF2-BC0A-E41F79F60DE3}"/>
            </a:ext>
          </a:extLst>
        </xdr:cNvPr>
        <xdr:cNvSpPr txBox="1"/>
      </xdr:nvSpPr>
      <xdr:spPr>
        <a:xfrm>
          <a:off x="7701585" y="3069532"/>
          <a:ext cx="1078396" cy="233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C91F33F-7A38-4F8D-BF68-48A1B9D4B64D}" type="TxLink">
            <a:rPr lang="ar-EG" sz="1400" b="1" i="0" u="none" strike="noStrike" baseline="0">
              <a:solidFill>
                <a:schemeClr val="bg1"/>
              </a:solidFill>
              <a:latin typeface="Calibri"/>
              <a:ea typeface="+mn-ea"/>
              <a:cs typeface="Calibri"/>
            </a:rPr>
            <a:pPr marL="0" indent="0" algn="ctr"/>
            <a:t>ابيض</a:t>
          </a:fld>
          <a:endParaRPr lang="en-US" sz="1400" b="1" i="0" u="none" strike="noStrike" baseline="0">
            <a:solidFill>
              <a:schemeClr val="bg1"/>
            </a:solidFill>
            <a:latin typeface="Calibri"/>
            <a:ea typeface="+mn-ea"/>
            <a:cs typeface="Calibri"/>
          </a:endParaRPr>
        </a:p>
      </xdr:txBody>
    </xdr:sp>
    <xdr:clientData/>
  </xdr:twoCellAnchor>
  <xdr:twoCellAnchor>
    <xdr:from>
      <xdr:col>17</xdr:col>
      <xdr:colOff>577713</xdr:colOff>
      <xdr:row>16</xdr:row>
      <xdr:rowOff>21532</xdr:rowOff>
    </xdr:from>
    <xdr:to>
      <xdr:col>19</xdr:col>
      <xdr:colOff>440222</xdr:colOff>
      <xdr:row>17</xdr:row>
      <xdr:rowOff>64605</xdr:rowOff>
    </xdr:to>
    <xdr:sp macro="" textlink="pivot_table!R2">
      <xdr:nvSpPr>
        <xdr:cNvPr id="40" name="TextBox 39">
          <a:extLst>
            <a:ext uri="{FF2B5EF4-FFF2-40B4-BE49-F238E27FC236}">
              <a16:creationId xmlns:a16="http://schemas.microsoft.com/office/drawing/2014/main" id="{66D55A4A-F0A7-4F8C-B698-3F2E613DAF36}"/>
            </a:ext>
          </a:extLst>
        </xdr:cNvPr>
        <xdr:cNvSpPr txBox="1"/>
      </xdr:nvSpPr>
      <xdr:spPr>
        <a:xfrm>
          <a:off x="10940913" y="3069532"/>
          <a:ext cx="1081709" cy="233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4C6472-992A-4940-B392-3D91995FCCF6}" type="TxLink">
            <a:rPr lang="ar-EG" sz="1400" b="1" i="0" u="none" strike="noStrike" baseline="0">
              <a:solidFill>
                <a:schemeClr val="bg1"/>
              </a:solidFill>
              <a:latin typeface="Calibri"/>
              <a:ea typeface="+mn-ea"/>
              <a:cs typeface="Calibri"/>
            </a:rPr>
            <a:pPr marL="0" indent="0" algn="ctr"/>
            <a:t>القاهرة</a:t>
          </a:fld>
          <a:endParaRPr lang="en-US" sz="1400" b="1" i="0" u="none" strike="noStrike" baseline="0">
            <a:solidFill>
              <a:schemeClr val="bg1"/>
            </a:solidFill>
            <a:latin typeface="Calibri"/>
            <a:ea typeface="+mn-ea"/>
            <a:cs typeface="Calibri"/>
          </a:endParaRPr>
        </a:p>
      </xdr:txBody>
    </xdr:sp>
    <xdr:clientData/>
  </xdr:twoCellAnchor>
  <xdr:twoCellAnchor editAs="oneCell">
    <xdr:from>
      <xdr:col>20</xdr:col>
      <xdr:colOff>317642</xdr:colOff>
      <xdr:row>15</xdr:row>
      <xdr:rowOff>103534</xdr:rowOff>
    </xdr:from>
    <xdr:to>
      <xdr:col>21</xdr:col>
      <xdr:colOff>218249</xdr:colOff>
      <xdr:row>18</xdr:row>
      <xdr:rowOff>45554</xdr:rowOff>
    </xdr:to>
    <xdr:pic>
      <xdr:nvPicPr>
        <xdr:cNvPr id="42" name="Picture 41">
          <a:extLst>
            <a:ext uri="{FF2B5EF4-FFF2-40B4-BE49-F238E27FC236}">
              <a16:creationId xmlns:a16="http://schemas.microsoft.com/office/drawing/2014/main" id="{BAADEDF3-E3E0-25FF-E5FC-892C9001CD6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509642" y="2961034"/>
          <a:ext cx="510207" cy="513520"/>
        </a:xfrm>
        <a:prstGeom prst="rect">
          <a:avLst/>
        </a:prstGeom>
      </xdr:spPr>
    </xdr:pic>
    <xdr:clientData/>
  </xdr:twoCellAnchor>
  <xdr:twoCellAnchor>
    <xdr:from>
      <xdr:col>6</xdr:col>
      <xdr:colOff>579368</xdr:colOff>
      <xdr:row>19</xdr:row>
      <xdr:rowOff>164823</xdr:rowOff>
    </xdr:from>
    <xdr:to>
      <xdr:col>15</xdr:col>
      <xdr:colOff>93179</xdr:colOff>
      <xdr:row>31</xdr:row>
      <xdr:rowOff>86967</xdr:rowOff>
    </xdr:to>
    <xdr:sp macro="" textlink="">
      <xdr:nvSpPr>
        <xdr:cNvPr id="43" name="Rectangle: Rounded Corners 42">
          <a:extLst>
            <a:ext uri="{FF2B5EF4-FFF2-40B4-BE49-F238E27FC236}">
              <a16:creationId xmlns:a16="http://schemas.microsoft.com/office/drawing/2014/main" id="{C225776A-EB7E-4DE0-BB80-B6F1C8619BFA}"/>
            </a:ext>
          </a:extLst>
        </xdr:cNvPr>
        <xdr:cNvSpPr/>
      </xdr:nvSpPr>
      <xdr:spPr>
        <a:xfrm>
          <a:off x="4262368" y="3784323"/>
          <a:ext cx="5038311" cy="2208144"/>
        </a:xfrm>
        <a:prstGeom prst="roundRect">
          <a:avLst/>
        </a:prstGeom>
        <a:solidFill>
          <a:srgbClr val="590202"/>
        </a:solid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000" b="1">
            <a:solidFill>
              <a:schemeClr val="lt1"/>
            </a:solidFill>
            <a:latin typeface="+mn-lt"/>
            <a:ea typeface="+mn-ea"/>
            <a:cs typeface="+mn-cs"/>
          </a:endParaRPr>
        </a:p>
      </xdr:txBody>
    </xdr:sp>
    <xdr:clientData/>
  </xdr:twoCellAnchor>
  <xdr:twoCellAnchor>
    <xdr:from>
      <xdr:col>9</xdr:col>
      <xdr:colOff>121346</xdr:colOff>
      <xdr:row>19</xdr:row>
      <xdr:rowOff>178715</xdr:rowOff>
    </xdr:from>
    <xdr:to>
      <xdr:col>13</xdr:col>
      <xdr:colOff>60054</xdr:colOff>
      <xdr:row>21</xdr:row>
      <xdr:rowOff>80985</xdr:rowOff>
    </xdr:to>
    <xdr:sp macro="" textlink="">
      <xdr:nvSpPr>
        <xdr:cNvPr id="45" name="TextBox 44">
          <a:extLst>
            <a:ext uri="{FF2B5EF4-FFF2-40B4-BE49-F238E27FC236}">
              <a16:creationId xmlns:a16="http://schemas.microsoft.com/office/drawing/2014/main" id="{A44517F1-8EB6-488A-A582-81C86EB6B42B}"/>
            </a:ext>
          </a:extLst>
        </xdr:cNvPr>
        <xdr:cNvSpPr txBox="1"/>
      </xdr:nvSpPr>
      <xdr:spPr>
        <a:xfrm>
          <a:off x="5645846" y="3798215"/>
          <a:ext cx="2394041" cy="283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a:t>
          </a:r>
          <a:r>
            <a:rPr lang="en-US" sz="1400" b="1" baseline="0">
              <a:solidFill>
                <a:schemeClr val="bg1"/>
              </a:solidFill>
            </a:rPr>
            <a:t> Products Each Platform</a:t>
          </a:r>
        </a:p>
      </xdr:txBody>
    </xdr:sp>
    <xdr:clientData/>
  </xdr:twoCellAnchor>
  <xdr:twoCellAnchor>
    <xdr:from>
      <xdr:col>15</xdr:col>
      <xdr:colOff>377594</xdr:colOff>
      <xdr:row>32</xdr:row>
      <xdr:rowOff>77303</xdr:rowOff>
    </xdr:from>
    <xdr:to>
      <xdr:col>21</xdr:col>
      <xdr:colOff>310092</xdr:colOff>
      <xdr:row>44</xdr:row>
      <xdr:rowOff>98424</xdr:rowOff>
    </xdr:to>
    <xdr:sp macro="" textlink="">
      <xdr:nvSpPr>
        <xdr:cNvPr id="46" name="Rectangle: Rounded Corners 45">
          <a:extLst>
            <a:ext uri="{FF2B5EF4-FFF2-40B4-BE49-F238E27FC236}">
              <a16:creationId xmlns:a16="http://schemas.microsoft.com/office/drawing/2014/main" id="{BC28F894-FA78-4FF3-9101-0304E356F26A}"/>
            </a:ext>
          </a:extLst>
        </xdr:cNvPr>
        <xdr:cNvSpPr/>
      </xdr:nvSpPr>
      <xdr:spPr>
        <a:xfrm>
          <a:off x="9585094" y="6173303"/>
          <a:ext cx="3615498" cy="2307121"/>
        </a:xfrm>
        <a:prstGeom prst="roundRect">
          <a:avLst/>
        </a:prstGeom>
        <a:solidFill>
          <a:srgbClr val="590202"/>
        </a:solid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000" b="1">
            <a:solidFill>
              <a:schemeClr val="lt1"/>
            </a:solidFill>
            <a:latin typeface="+mn-lt"/>
            <a:ea typeface="+mn-ea"/>
            <a:cs typeface="+mn-cs"/>
          </a:endParaRPr>
        </a:p>
      </xdr:txBody>
    </xdr:sp>
    <xdr:clientData/>
  </xdr:twoCellAnchor>
  <xdr:twoCellAnchor>
    <xdr:from>
      <xdr:col>17</xdr:col>
      <xdr:colOff>569849</xdr:colOff>
      <xdr:row>21</xdr:row>
      <xdr:rowOff>76196</xdr:rowOff>
    </xdr:from>
    <xdr:to>
      <xdr:col>21</xdr:col>
      <xdr:colOff>508558</xdr:colOff>
      <xdr:row>22</xdr:row>
      <xdr:rowOff>168966</xdr:rowOff>
    </xdr:to>
    <xdr:sp macro="" textlink="">
      <xdr:nvSpPr>
        <xdr:cNvPr id="48" name="TextBox 47">
          <a:extLst>
            <a:ext uri="{FF2B5EF4-FFF2-40B4-BE49-F238E27FC236}">
              <a16:creationId xmlns:a16="http://schemas.microsoft.com/office/drawing/2014/main" id="{96DE24CF-71BF-4F8E-A4EF-019912B2A787}"/>
            </a:ext>
          </a:extLst>
        </xdr:cNvPr>
        <xdr:cNvSpPr txBox="1"/>
      </xdr:nvSpPr>
      <xdr:spPr>
        <a:xfrm>
          <a:off x="10989371" y="4076696"/>
          <a:ext cx="2390361" cy="283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400" b="1" baseline="0">
            <a:solidFill>
              <a:schemeClr val="bg1"/>
            </a:solidFill>
          </a:endParaRPr>
        </a:p>
      </xdr:txBody>
    </xdr:sp>
    <xdr:clientData/>
  </xdr:twoCellAnchor>
  <xdr:twoCellAnchor>
    <xdr:from>
      <xdr:col>15</xdr:col>
      <xdr:colOff>544075</xdr:colOff>
      <xdr:row>33</xdr:row>
      <xdr:rowOff>136938</xdr:rowOff>
    </xdr:from>
    <xdr:to>
      <xdr:col>21</xdr:col>
      <xdr:colOff>58209</xdr:colOff>
      <xdr:row>43</xdr:row>
      <xdr:rowOff>146049</xdr:rowOff>
    </xdr:to>
    <xdr:graphicFrame macro="">
      <xdr:nvGraphicFramePr>
        <xdr:cNvPr id="49" name="Chart 48">
          <a:extLst>
            <a:ext uri="{FF2B5EF4-FFF2-40B4-BE49-F238E27FC236}">
              <a16:creationId xmlns:a16="http://schemas.microsoft.com/office/drawing/2014/main" id="{CC8E5061-70D1-4AEF-A7E8-B5BBE4BD59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308026</xdr:colOff>
      <xdr:row>32</xdr:row>
      <xdr:rowOff>86779</xdr:rowOff>
    </xdr:from>
    <xdr:to>
      <xdr:col>20</xdr:col>
      <xdr:colOff>246735</xdr:colOff>
      <xdr:row>33</xdr:row>
      <xdr:rowOff>179549</xdr:rowOff>
    </xdr:to>
    <xdr:sp macro="" textlink="">
      <xdr:nvSpPr>
        <xdr:cNvPr id="50" name="TextBox 49">
          <a:extLst>
            <a:ext uri="{FF2B5EF4-FFF2-40B4-BE49-F238E27FC236}">
              <a16:creationId xmlns:a16="http://schemas.microsoft.com/office/drawing/2014/main" id="{CAA9D6DC-9EE0-42B1-B373-C378540A8451}"/>
            </a:ext>
          </a:extLst>
        </xdr:cNvPr>
        <xdr:cNvSpPr txBox="1"/>
      </xdr:nvSpPr>
      <xdr:spPr>
        <a:xfrm>
          <a:off x="10129359" y="6182779"/>
          <a:ext cx="2394043" cy="283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solidFill>
                <a:schemeClr val="bg1"/>
              </a:solidFill>
            </a:rPr>
            <a:t>Percentage of Delivery</a:t>
          </a:r>
        </a:p>
      </xdr:txBody>
    </xdr:sp>
    <xdr:clientData/>
  </xdr:twoCellAnchor>
  <xdr:twoCellAnchor>
    <xdr:from>
      <xdr:col>15</xdr:col>
      <xdr:colOff>317223</xdr:colOff>
      <xdr:row>19</xdr:row>
      <xdr:rowOff>159854</xdr:rowOff>
    </xdr:from>
    <xdr:to>
      <xdr:col>21</xdr:col>
      <xdr:colOff>304800</xdr:colOff>
      <xdr:row>31</xdr:row>
      <xdr:rowOff>81998</xdr:rowOff>
    </xdr:to>
    <xdr:sp macro="" textlink="">
      <xdr:nvSpPr>
        <xdr:cNvPr id="51" name="Rectangle: Rounded Corners 50">
          <a:extLst>
            <a:ext uri="{FF2B5EF4-FFF2-40B4-BE49-F238E27FC236}">
              <a16:creationId xmlns:a16="http://schemas.microsoft.com/office/drawing/2014/main" id="{F2AE1B73-18EA-43A4-B46C-E01F7B511FF3}"/>
            </a:ext>
          </a:extLst>
        </xdr:cNvPr>
        <xdr:cNvSpPr/>
      </xdr:nvSpPr>
      <xdr:spPr>
        <a:xfrm>
          <a:off x="9461223" y="3779354"/>
          <a:ext cx="3645177" cy="2208144"/>
        </a:xfrm>
        <a:prstGeom prst="roundRect">
          <a:avLst/>
        </a:prstGeom>
        <a:solidFill>
          <a:srgbClr val="590202"/>
        </a:solid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000" b="1">
            <a:solidFill>
              <a:schemeClr val="lt1"/>
            </a:solidFill>
            <a:latin typeface="+mn-lt"/>
            <a:ea typeface="+mn-ea"/>
            <a:cs typeface="+mn-cs"/>
          </a:endParaRPr>
        </a:p>
      </xdr:txBody>
    </xdr:sp>
    <xdr:clientData/>
  </xdr:twoCellAnchor>
  <xdr:twoCellAnchor>
    <xdr:from>
      <xdr:col>16</xdr:col>
      <xdr:colOff>190498</xdr:colOff>
      <xdr:row>21</xdr:row>
      <xdr:rowOff>57150</xdr:rowOff>
    </xdr:from>
    <xdr:to>
      <xdr:col>21</xdr:col>
      <xdr:colOff>28575</xdr:colOff>
      <xdr:row>30</xdr:row>
      <xdr:rowOff>171451</xdr:rowOff>
    </xdr:to>
    <xdr:graphicFrame macro="">
      <xdr:nvGraphicFramePr>
        <xdr:cNvPr id="52" name="Chart 51">
          <a:extLst>
            <a:ext uri="{FF2B5EF4-FFF2-40B4-BE49-F238E27FC236}">
              <a16:creationId xmlns:a16="http://schemas.microsoft.com/office/drawing/2014/main" id="{1B21C2E2-9156-41D8-8B17-D113213803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465488</xdr:colOff>
      <xdr:row>19</xdr:row>
      <xdr:rowOff>173422</xdr:rowOff>
    </xdr:from>
    <xdr:to>
      <xdr:col>20</xdr:col>
      <xdr:colOff>404196</xdr:colOff>
      <xdr:row>21</xdr:row>
      <xdr:rowOff>75692</xdr:rowOff>
    </xdr:to>
    <xdr:sp macro="" textlink="">
      <xdr:nvSpPr>
        <xdr:cNvPr id="53" name="TextBox 52">
          <a:extLst>
            <a:ext uri="{FF2B5EF4-FFF2-40B4-BE49-F238E27FC236}">
              <a16:creationId xmlns:a16="http://schemas.microsoft.com/office/drawing/2014/main" id="{F7A6FA08-C4B9-44EC-968C-901E9F22520A}"/>
            </a:ext>
          </a:extLst>
        </xdr:cNvPr>
        <xdr:cNvSpPr txBox="1"/>
      </xdr:nvSpPr>
      <xdr:spPr>
        <a:xfrm>
          <a:off x="10286821" y="3792922"/>
          <a:ext cx="2394042" cy="283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a:t>
          </a:r>
          <a:r>
            <a:rPr lang="en-US" sz="1400" b="1" baseline="0">
              <a:solidFill>
                <a:schemeClr val="bg1"/>
              </a:solidFill>
            </a:rPr>
            <a:t> Persons And Campanies</a:t>
          </a:r>
        </a:p>
      </xdr:txBody>
    </xdr:sp>
    <xdr:clientData/>
  </xdr:twoCellAnchor>
  <xdr:twoCellAnchor editAs="oneCell">
    <xdr:from>
      <xdr:col>0</xdr:col>
      <xdr:colOff>128058</xdr:colOff>
      <xdr:row>15</xdr:row>
      <xdr:rowOff>99749</xdr:rowOff>
    </xdr:from>
    <xdr:to>
      <xdr:col>3</xdr:col>
      <xdr:colOff>518582</xdr:colOff>
      <xdr:row>24</xdr:row>
      <xdr:rowOff>182827</xdr:rowOff>
    </xdr:to>
    <mc:AlternateContent xmlns:mc="http://schemas.openxmlformats.org/markup-compatibility/2006" xmlns:a14="http://schemas.microsoft.com/office/drawing/2010/main">
      <mc:Choice Requires="a14">
        <xdr:graphicFrame macro="">
          <xdr:nvGraphicFramePr>
            <xdr:cNvPr id="55" name="المحافظه">
              <a:extLst>
                <a:ext uri="{FF2B5EF4-FFF2-40B4-BE49-F238E27FC236}">
                  <a16:creationId xmlns:a16="http://schemas.microsoft.com/office/drawing/2014/main" id="{3EA5B416-83C3-1800-7E71-39E062C124F3}"/>
                </a:ext>
              </a:extLst>
            </xdr:cNvPr>
            <xdr:cNvGraphicFramePr/>
          </xdr:nvGraphicFramePr>
          <xdr:xfrm>
            <a:off x="0" y="0"/>
            <a:ext cx="0" cy="0"/>
          </xdr:xfrm>
          <a:graphic>
            <a:graphicData uri="http://schemas.microsoft.com/office/drawing/2010/slicer">
              <sle:slicer xmlns:sle="http://schemas.microsoft.com/office/drawing/2010/slicer" name="المحافظه"/>
            </a:graphicData>
          </a:graphic>
        </xdr:graphicFrame>
      </mc:Choice>
      <mc:Fallback xmlns="">
        <xdr:sp macro="" textlink="">
          <xdr:nvSpPr>
            <xdr:cNvPr id="0" name=""/>
            <xdr:cNvSpPr>
              <a:spLocks noTextEdit="1"/>
            </xdr:cNvSpPr>
          </xdr:nvSpPr>
          <xdr:spPr>
            <a:xfrm>
              <a:off x="128058" y="2957249"/>
              <a:ext cx="2232024" cy="17975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128058</xdr:colOff>
      <xdr:row>9</xdr:row>
      <xdr:rowOff>130838</xdr:rowOff>
    </xdr:from>
    <xdr:to>
      <xdr:col>3</xdr:col>
      <xdr:colOff>518583</xdr:colOff>
      <xdr:row>14</xdr:row>
      <xdr:rowOff>111787</xdr:rowOff>
    </xdr:to>
    <mc:AlternateContent xmlns:mc="http://schemas.openxmlformats.org/markup-compatibility/2006" xmlns:a14="http://schemas.microsoft.com/office/drawing/2010/main">
      <mc:Choice Requires="a14">
        <xdr:graphicFrame macro="">
          <xdr:nvGraphicFramePr>
            <xdr:cNvPr id="56" name="لون المنتج">
              <a:extLst>
                <a:ext uri="{FF2B5EF4-FFF2-40B4-BE49-F238E27FC236}">
                  <a16:creationId xmlns:a16="http://schemas.microsoft.com/office/drawing/2014/main" id="{6E3FA7FE-9AFE-837B-01D6-46525DC61C66}"/>
                </a:ext>
              </a:extLst>
            </xdr:cNvPr>
            <xdr:cNvGraphicFramePr/>
          </xdr:nvGraphicFramePr>
          <xdr:xfrm>
            <a:off x="0" y="0"/>
            <a:ext cx="0" cy="0"/>
          </xdr:xfrm>
          <a:graphic>
            <a:graphicData uri="http://schemas.microsoft.com/office/drawing/2010/slicer">
              <sle:slicer xmlns:sle="http://schemas.microsoft.com/office/drawing/2010/slicer" name="لون المنتج"/>
            </a:graphicData>
          </a:graphic>
        </xdr:graphicFrame>
      </mc:Choice>
      <mc:Fallback xmlns="">
        <xdr:sp macro="" textlink="">
          <xdr:nvSpPr>
            <xdr:cNvPr id="0" name=""/>
            <xdr:cNvSpPr>
              <a:spLocks noTextEdit="1"/>
            </xdr:cNvSpPr>
          </xdr:nvSpPr>
          <xdr:spPr>
            <a:xfrm>
              <a:off x="128058" y="1845338"/>
              <a:ext cx="2232025" cy="933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118533</xdr:colOff>
      <xdr:row>25</xdr:row>
      <xdr:rowOff>170789</xdr:rowOff>
    </xdr:from>
    <xdr:to>
      <xdr:col>3</xdr:col>
      <xdr:colOff>528108</xdr:colOff>
      <xdr:row>34</xdr:row>
      <xdr:rowOff>14155</xdr:rowOff>
    </xdr:to>
    <mc:AlternateContent xmlns:mc="http://schemas.openxmlformats.org/markup-compatibility/2006" xmlns:a14="http://schemas.microsoft.com/office/drawing/2010/main">
      <mc:Choice Requires="a14">
        <xdr:graphicFrame macro="">
          <xdr:nvGraphicFramePr>
            <xdr:cNvPr id="57" name="منصة البيع">
              <a:extLst>
                <a:ext uri="{FF2B5EF4-FFF2-40B4-BE49-F238E27FC236}">
                  <a16:creationId xmlns:a16="http://schemas.microsoft.com/office/drawing/2014/main" id="{C54D655E-D1E6-B49E-3F90-CB1B9C3E5EE7}"/>
                </a:ext>
              </a:extLst>
            </xdr:cNvPr>
            <xdr:cNvGraphicFramePr/>
          </xdr:nvGraphicFramePr>
          <xdr:xfrm>
            <a:off x="0" y="0"/>
            <a:ext cx="0" cy="0"/>
          </xdr:xfrm>
          <a:graphic>
            <a:graphicData uri="http://schemas.microsoft.com/office/drawing/2010/slicer">
              <sle:slicer xmlns:sle="http://schemas.microsoft.com/office/drawing/2010/slicer" name="منصة البيع"/>
            </a:graphicData>
          </a:graphic>
        </xdr:graphicFrame>
      </mc:Choice>
      <mc:Fallback xmlns="">
        <xdr:sp macro="" textlink="">
          <xdr:nvSpPr>
            <xdr:cNvPr id="0" name=""/>
            <xdr:cNvSpPr>
              <a:spLocks noTextEdit="1"/>
            </xdr:cNvSpPr>
          </xdr:nvSpPr>
          <xdr:spPr>
            <a:xfrm>
              <a:off x="118533" y="4933289"/>
              <a:ext cx="2251075" cy="15578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432858</xdr:colOff>
      <xdr:row>35</xdr:row>
      <xdr:rowOff>2116</xdr:rowOff>
    </xdr:from>
    <xdr:to>
      <xdr:col>3</xdr:col>
      <xdr:colOff>213783</xdr:colOff>
      <xdr:row>37</xdr:row>
      <xdr:rowOff>87841</xdr:rowOff>
    </xdr:to>
    <xdr:sp macro="[0]!ClearAllFilters" textlink="">
      <xdr:nvSpPr>
        <xdr:cNvPr id="59" name="Rectangle: Rounded Corners 58">
          <a:extLst>
            <a:ext uri="{FF2B5EF4-FFF2-40B4-BE49-F238E27FC236}">
              <a16:creationId xmlns:a16="http://schemas.microsoft.com/office/drawing/2014/main" id="{CAD5FC5C-A750-5D8C-3405-DF50750CDA64}"/>
            </a:ext>
          </a:extLst>
        </xdr:cNvPr>
        <xdr:cNvSpPr/>
      </xdr:nvSpPr>
      <xdr:spPr>
        <a:xfrm>
          <a:off x="432858" y="6669616"/>
          <a:ext cx="1622425" cy="466725"/>
        </a:xfrm>
        <a:prstGeom prst="roundRect">
          <a:avLst/>
        </a:prstGeom>
        <a:solidFill>
          <a:srgbClr val="FFC000"/>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rgbClr val="FF0000"/>
              </a:solidFill>
            </a:rPr>
            <a:t>Clear</a:t>
          </a:r>
          <a:endParaRPr lang="en-US" sz="1100" b="1">
            <a:solidFill>
              <a:srgbClr val="FF0000"/>
            </a:solidFill>
          </a:endParaRPr>
        </a:p>
      </xdr:txBody>
    </xdr:sp>
    <xdr:clientData/>
  </xdr:twoCellAnchor>
  <xdr:twoCellAnchor>
    <xdr:from>
      <xdr:col>7</xdr:col>
      <xdr:colOff>200025</xdr:colOff>
      <xdr:row>20</xdr:row>
      <xdr:rowOff>161924</xdr:rowOff>
    </xdr:from>
    <xdr:to>
      <xdr:col>14</xdr:col>
      <xdr:colOff>438150</xdr:colOff>
      <xdr:row>31</xdr:row>
      <xdr:rowOff>57149</xdr:rowOff>
    </xdr:to>
    <xdr:graphicFrame macro="">
      <xdr:nvGraphicFramePr>
        <xdr:cNvPr id="2" name="Chart 1">
          <a:extLst>
            <a:ext uri="{FF2B5EF4-FFF2-40B4-BE49-F238E27FC236}">
              <a16:creationId xmlns:a16="http://schemas.microsoft.com/office/drawing/2014/main" id="{BB9939ED-D800-4967-8054-7E91D37FF3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560916</xdr:colOff>
      <xdr:row>32</xdr:row>
      <xdr:rowOff>95250</xdr:rowOff>
    </xdr:from>
    <xdr:to>
      <xdr:col>15</xdr:col>
      <xdr:colOff>123364</xdr:colOff>
      <xdr:row>44</xdr:row>
      <xdr:rowOff>17394</xdr:rowOff>
    </xdr:to>
    <xdr:sp macro="" textlink="">
      <xdr:nvSpPr>
        <xdr:cNvPr id="19" name="Rectangle: Rounded Corners 18">
          <a:extLst>
            <a:ext uri="{FF2B5EF4-FFF2-40B4-BE49-F238E27FC236}">
              <a16:creationId xmlns:a16="http://schemas.microsoft.com/office/drawing/2014/main" id="{BD140350-7919-45AC-80C8-A43A6E3A2549}"/>
            </a:ext>
          </a:extLst>
        </xdr:cNvPr>
        <xdr:cNvSpPr/>
      </xdr:nvSpPr>
      <xdr:spPr>
        <a:xfrm>
          <a:off x="4243916" y="6191250"/>
          <a:ext cx="5086948" cy="2208144"/>
        </a:xfrm>
        <a:prstGeom prst="roundRect">
          <a:avLst/>
        </a:prstGeom>
        <a:solidFill>
          <a:srgbClr val="590202"/>
        </a:solid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3000" b="1">
            <a:solidFill>
              <a:schemeClr val="lt1"/>
            </a:solidFill>
            <a:latin typeface="+mn-lt"/>
            <a:ea typeface="+mn-ea"/>
            <a:cs typeface="+mn-cs"/>
          </a:endParaRPr>
        </a:p>
      </xdr:txBody>
    </xdr:sp>
    <xdr:clientData/>
  </xdr:twoCellAnchor>
  <xdr:twoCellAnchor>
    <xdr:from>
      <xdr:col>7</xdr:col>
      <xdr:colOff>201084</xdr:colOff>
      <xdr:row>34</xdr:row>
      <xdr:rowOff>10583</xdr:rowOff>
    </xdr:from>
    <xdr:to>
      <xdr:col>14</xdr:col>
      <xdr:colOff>433918</xdr:colOff>
      <xdr:row>43</xdr:row>
      <xdr:rowOff>179917</xdr:rowOff>
    </xdr:to>
    <xdr:graphicFrame macro="">
      <xdr:nvGraphicFramePr>
        <xdr:cNvPr id="27" name="Chart 26">
          <a:extLst>
            <a:ext uri="{FF2B5EF4-FFF2-40B4-BE49-F238E27FC236}">
              <a16:creationId xmlns:a16="http://schemas.microsoft.com/office/drawing/2014/main" id="{E02CC0D6-252A-46DA-9729-273361F82F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358412</xdr:colOff>
      <xdr:row>32</xdr:row>
      <xdr:rowOff>105833</xdr:rowOff>
    </xdr:from>
    <xdr:to>
      <xdr:col>14</xdr:col>
      <xdr:colOff>52916</xdr:colOff>
      <xdr:row>34</xdr:row>
      <xdr:rowOff>74083</xdr:rowOff>
    </xdr:to>
    <xdr:sp macro="" textlink="">
      <xdr:nvSpPr>
        <xdr:cNvPr id="32" name="TextBox 31">
          <a:extLst>
            <a:ext uri="{FF2B5EF4-FFF2-40B4-BE49-F238E27FC236}">
              <a16:creationId xmlns:a16="http://schemas.microsoft.com/office/drawing/2014/main" id="{07EB2E66-0937-46B1-B90C-80A504332970}"/>
            </a:ext>
          </a:extLst>
        </xdr:cNvPr>
        <xdr:cNvSpPr txBox="1"/>
      </xdr:nvSpPr>
      <xdr:spPr>
        <a:xfrm>
          <a:off x="5269079" y="6201833"/>
          <a:ext cx="3377504"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solidFill>
                <a:schemeClr val="bg1"/>
              </a:solidFill>
            </a:rPr>
            <a:t>The Fastest Order`s </a:t>
          </a:r>
          <a:r>
            <a:rPr lang="en-US" sz="1400" b="1" baseline="0">
              <a:solidFill>
                <a:srgbClr val="FFFEFE"/>
              </a:solidFill>
              <a:effectLst/>
              <a:latin typeface="+mn-lt"/>
              <a:ea typeface="+mn-ea"/>
              <a:cs typeface="+mn-cs"/>
            </a:rPr>
            <a:t>Responsable</a:t>
          </a:r>
          <a:r>
            <a:rPr lang="en-US" sz="1400" b="1" baseline="0">
              <a:solidFill>
                <a:schemeClr val="bg1"/>
              </a:solidFill>
            </a:rPr>
            <a:t> On Time  </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i Ashraf" refreshedDate="46141.166153356484" createdVersion="5" refreshedVersion="8" minRefreshableVersion="3" recordCount="0" supportSubquery="1" supportAdvancedDrill="1" xr:uid="{AB1BF405-81FA-45D9-BF84-15A442C3633E}">
  <cacheSource type="external" connectionId="2"/>
  <cacheFields count="3">
    <cacheField name="[ماسيو].[الحالة].[الحالة]" caption="الحالة" numFmtId="0" hierarchy="19" level="1">
      <sharedItems containsSemiMixedTypes="0" containsNonDate="0" containsString="0"/>
    </cacheField>
    <cacheField name="[Measures].[total_orders]" caption="total_orders" numFmtId="0" hierarchy="23" level="32767"/>
    <cacheField name="[ماسيو].[منصة البيع].[منصة البيع]" caption="منصة البيع" numFmtId="0" hierarchy="4" level="1">
      <sharedItems containsSemiMixedTypes="0" containsNonDate="0" containsString="0"/>
    </cacheField>
  </cacheFields>
  <cacheHierarchies count="36">
    <cacheHierarchy uniqueName="[ماسيو].[أسم العميل]" caption="أسم العميل" attribute="1" defaultMemberUniqueName="[ماسيو].[أسم العميل].[All]" allUniqueName="[ماسيو].[أسم العميل].[All]" dimensionUniqueName="[ماسيو]" displayFolder="" count="0" memberValueDatatype="130" unbalanced="0"/>
    <cacheHierarchy uniqueName="[ماسيو].[نوع العميل]" caption="نوع العميل" attribute="1" defaultMemberUniqueName="[ماسيو].[نوع العميل].[All]" allUniqueName="[ماسيو].[نوع العميل].[All]" dimensionUniqueName="[ماسيو]" displayFolder="" count="0" memberValueDatatype="130" unbalanced="0"/>
    <cacheHierarchy uniqueName="[ماسيو].[العنوان]" caption="العنوان" attribute="1" defaultMemberUniqueName="[ماسيو].[العنوان].[All]" allUniqueName="[ماسيو].[العنوان].[All]" dimensionUniqueName="[ماسيو]" displayFolder="" count="0" memberValueDatatype="130" unbalanced="0"/>
    <cacheHierarchy uniqueName="[ماسيو].[المحافظه]" caption="المحافظه" attribute="1" defaultMemberUniqueName="[ماسيو].[المحافظه].[All]" allUniqueName="[ماسيو].[المحافظه].[All]" dimensionUniqueName="[ماسيو]" displayFolder="" count="2" memberValueDatatype="130" unbalanced="0"/>
    <cacheHierarchy uniqueName="[ماسيو].[منصة البيع]" caption="منصة البيع" attribute="1" defaultMemberUniqueName="[ماسيو].[منصة البيع].[All]" allUniqueName="[ماسيو].[منصة البيع].[All]" dimensionUniqueName="[ماسيو]" displayFolder="" count="2" memberValueDatatype="130" unbalanced="0">
      <fieldsUsage count="2">
        <fieldUsage x="-1"/>
        <fieldUsage x="2"/>
      </fieldsUsage>
    </cacheHierarchy>
    <cacheHierarchy uniqueName="[ماسيو].[الصنف]" caption="الصنف" attribute="1" defaultMemberUniqueName="[ماسيو].[الصنف].[All]" allUniqueName="[ماسيو].[الصنف].[All]" dimensionUniqueName="[ماسيو]" displayFolder="" count="0" memberValueDatatype="130" unbalanced="0"/>
    <cacheHierarchy uniqueName="[ماسيو].[النوع]" caption="النوع" attribute="1" defaultMemberUniqueName="[ماسيو].[النوع].[All]" allUniqueName="[ماسيو].[النوع].[All]" dimensionUniqueName="[ماسيو]" displayFolder="" count="0" memberValueDatatype="130" unbalanced="0"/>
    <cacheHierarchy uniqueName="[ماسيو].[الاسم]" caption="الاسم" attribute="1" defaultMemberUniqueName="[ماسيو].[الاسم].[All]" allUniqueName="[ماسيو].[الاسم].[All]" dimensionUniqueName="[ماسيو]" displayFolder="" count="0" memberValueDatatype="130" unbalanced="0"/>
    <cacheHierarchy uniqueName="[ماسيو].[المقاس]" caption="المقاس" attribute="1" defaultMemberUniqueName="[ماسيو].[المقاس].[All]" allUniqueName="[ماسيو].[المقاس].[All]" dimensionUniqueName="[ماسيو]" displayFolder="" count="0" memberValueDatatype="130" unbalanced="0"/>
    <cacheHierarchy uniqueName="[ماسيو].[لون المنتج]" caption="لون المنتج" attribute="1" defaultMemberUniqueName="[ماسيو].[لون المنتج].[All]" allUniqueName="[ماسيو].[لون المنتج].[All]" dimensionUniqueName="[ماسيو]" displayFolder="" count="2" memberValueDatatype="130" unbalanced="0"/>
    <cacheHierarchy uniqueName="[ماسيو].[لون القماش]" caption="لون القماش" attribute="1" defaultMemberUniqueName="[ماسيو].[لون القماش].[All]" allUniqueName="[ماسيو].[لون القماش].[All]" dimensionUniqueName="[ماسيو]" displayFolder="" count="0" memberValueDatatype="130" unbalanced="0"/>
    <cacheHierarchy uniqueName="[ماسيو].[المنتج]" caption="المنتج" attribute="1" defaultMemberUniqueName="[ماسيو].[المنتج].[All]" allUniqueName="[ماسيو].[المنتج].[All]" dimensionUniqueName="[ماسيو]" displayFolder="" count="0" memberValueDatatype="130" unbalanced="0"/>
    <cacheHierarchy uniqueName="[ماسيو].[سعر البيع]" caption="سعر البيع" attribute="1" defaultMemberUniqueName="[ماسيو].[سعر البيع].[All]" allUniqueName="[ماسيو].[سعر البيع].[All]" dimensionUniqueName="[ماسيو]" displayFolder="" count="0" memberValueDatatype="5" unbalanced="0"/>
    <cacheHierarchy uniqueName="[ماسيو].[طريقه الدفع]" caption="طريقه الدفع" attribute="1" defaultMemberUniqueName="[ماسيو].[طريقه الدفع].[All]" allUniqueName="[ماسيو].[طريقه الدفع].[All]" dimensionUniqueName="[ماسيو]" displayFolder="" count="0" memberValueDatatype="130" unbalanced="0"/>
    <cacheHierarchy uniqueName="[ماسيو].[نوع الدفع]" caption="نوع الدفع" attribute="1" defaultMemberUniqueName="[ماسيو].[نوع الدفع].[All]" allUniqueName="[ماسيو].[نوع الدفع].[All]" dimensionUniqueName="[ماسيو]" displayFolder="" count="0" memberValueDatatype="130" unbalanced="0"/>
    <cacheHierarchy uniqueName="[ماسيو].[ميعاد الطلب]" caption="ميعاد الطلب" attribute="1" time="1" defaultMemberUniqueName="[ماسيو].[ميعاد الطلب].[All]" allUniqueName="[ماسيو].[ميعاد الطلب].[All]" dimensionUniqueName="[ماسيو]" displayFolder="" count="0" memberValueDatatype="7" unbalanced="0"/>
    <cacheHierarchy uniqueName="[ماسيو].[ميعاد التسليم]" caption="ميعاد التسليم" attribute="1" time="1" defaultMemberUniqueName="[ماسيو].[ميعاد التسليم].[All]" allUniqueName="[ماسيو].[ميعاد التسليم].[All]" dimensionUniqueName="[ماسيو]" displayFolder="" count="0" memberValueDatatype="7" unbalanced="0"/>
    <cacheHierarchy uniqueName="[ماسيو].[تاريخ التسليم]" caption="تاريخ التسليم" attribute="1" time="1" defaultMemberUniqueName="[ماسيو].[تاريخ التسليم].[All]" allUniqueName="[ماسيو].[تاريخ التسليم].[All]" dimensionUniqueName="[ماسيو]" displayFolder="" count="0" memberValueDatatype="7" unbalanced="0"/>
    <cacheHierarchy uniqueName="[ماسيو].[المسئول عن التسليم]" caption="المسئول عن التسليم" attribute="1" defaultMemberUniqueName="[ماسيو].[المسئول عن التسليم].[All]" allUniqueName="[ماسيو].[المسئول عن التسليم].[All]" dimensionUniqueName="[ماسيو]" displayFolder="" count="0" memberValueDatatype="130" unbalanced="0"/>
    <cacheHierarchy uniqueName="[ماسيو].[الحالة]" caption="الحالة" attribute="1" defaultMemberUniqueName="[ماسيو].[الحالة].[All]" allUniqueName="[ماسيو].[الحالة].[All]" dimensionUniqueName="[ماسيو]" displayFolder="" count="2" memberValueDatatype="130" unbalanced="0">
      <fieldsUsage count="2">
        <fieldUsage x="-1"/>
        <fieldUsage x="0"/>
      </fieldsUsage>
    </cacheHierarchy>
    <cacheHierarchy uniqueName="[ماسيو].[مده التسليم (الهدف)]" caption="مده التسليم (الهدف)" attribute="1" defaultMemberUniqueName="[ماسيو].[مده التسليم (الهدف)].[All]" allUniqueName="[ماسيو].[مده التسليم (الهدف)].[All]" dimensionUniqueName="[ماسيو]" displayFolder="" count="0" memberValueDatatype="20" unbalanced="0"/>
    <cacheHierarchy uniqueName="[ماسيو].[مده التسليم (الفعلي)]" caption="مده التسليم (الفعلي)" attribute="1" defaultMemberUniqueName="[ماسيو].[مده التسليم (الفعلي)].[All]" allUniqueName="[ماسيو].[مده التسليم (الفعلي)].[All]" dimensionUniqueName="[ماسيو]" displayFolder="" count="0" memberValueDatatype="20" unbalanced="0"/>
    <cacheHierarchy uniqueName="[ماسيو].[حاله التوصيل]" caption="حاله التوصيل" attribute="1" defaultMemberUniqueName="[ماسيو].[حاله التوصيل].[All]" allUniqueName="[ماسيو].[حاله التوصيل].[All]" dimensionUniqueName="[ماسيو]" displayFolder="" count="0" memberValueDatatype="130" unbalanced="0"/>
    <cacheHierarchy uniqueName="[Measures].[total_orders]" caption="total_orders" measure="1" displayFolder="" measureGroup="ماسيو" count="0" oneField="1">
      <fieldsUsage count="1">
        <fieldUsage x="1"/>
      </fieldsUsage>
    </cacheHierarchy>
    <cacheHierarchy uniqueName="[Measures].[count_persons and companies]" caption="count_persons and companies" measure="1" displayFolder="" measureGroup="ماسيو" count="0"/>
    <cacheHierarchy uniqueName="[Measures].[__XL_Count ماسيو]" caption="__XL_Count ماسيو" measure="1" displayFolder="" measureGroup="ماسيو" count="0" hidden="1"/>
    <cacheHierarchy uniqueName="[Measures].[__No measures defined]" caption="__No measures defined" measure="1" displayFolder="" count="0" hidden="1"/>
    <cacheHierarchy uniqueName="[Measures].[Sum of سعر البيع]" caption="Sum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Average of سعر البيع]" caption="Average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Count of المنتج]" caption="Count of المنتج" measure="1" displayFolder="" measureGroup="ماسيو" count="0" hidden="1">
      <extLst>
        <ext xmlns:x15="http://schemas.microsoft.com/office/spreadsheetml/2010/11/main" uri="{B97F6D7D-B522-45F9-BDA1-12C45D357490}">
          <x15:cacheHierarchy aggregatedColumn="11"/>
        </ext>
      </extLst>
    </cacheHierarchy>
    <cacheHierarchy uniqueName="[Measures].[Count of لون المنتج]" caption="Count of لون المنتج" measure="1" displayFolder="" measureGroup="ماسيو" count="0" hidden="1">
      <extLst>
        <ext xmlns:x15="http://schemas.microsoft.com/office/spreadsheetml/2010/11/main" uri="{B97F6D7D-B522-45F9-BDA1-12C45D357490}">
          <x15:cacheHierarchy aggregatedColumn="9"/>
        </ext>
      </extLst>
    </cacheHierarchy>
    <cacheHierarchy uniqueName="[Measures].[Count of حاله التوصيل]" caption="Count of حاله التوصيل" measure="1" displayFolder="" measureGroup="ماسيو" count="0" hidden="1">
      <extLst>
        <ext xmlns:x15="http://schemas.microsoft.com/office/spreadsheetml/2010/11/main" uri="{B97F6D7D-B522-45F9-BDA1-12C45D357490}">
          <x15:cacheHierarchy aggregatedColumn="22"/>
        </ext>
      </extLst>
    </cacheHierarchy>
    <cacheHierarchy uniqueName="[Measures].[Count of المحافظه]" caption="Count of المحافظه" measure="1" displayFolder="" measureGroup="ماسيو" count="0" hidden="1">
      <extLst>
        <ext xmlns:x15="http://schemas.microsoft.com/office/spreadsheetml/2010/11/main" uri="{B97F6D7D-B522-45F9-BDA1-12C45D357490}">
          <x15:cacheHierarchy aggregatedColumn="3"/>
        </ext>
      </extLst>
    </cacheHierarchy>
    <cacheHierarchy uniqueName="[Measures].[Count of أسم العميل]" caption="Count of أسم العميل" measure="1" displayFolder="" measureGroup="ماسيو" count="0" hidden="1">
      <extLst>
        <ext xmlns:x15="http://schemas.microsoft.com/office/spreadsheetml/2010/11/main" uri="{B97F6D7D-B522-45F9-BDA1-12C45D357490}">
          <x15:cacheHierarchy aggregatedColumn="0"/>
        </ext>
      </extLst>
    </cacheHierarchy>
    <cacheHierarchy uniqueName="[Measures].[Count of نوع العميل]" caption="Count of نوع العميل" measure="1" displayFolder="" measureGroup="ماسيو" count="0" hidden="1">
      <extLst>
        <ext xmlns:x15="http://schemas.microsoft.com/office/spreadsheetml/2010/11/main" uri="{B97F6D7D-B522-45F9-BDA1-12C45D357490}">
          <x15:cacheHierarchy aggregatedColumn="1"/>
        </ext>
      </extLst>
    </cacheHierarchy>
    <cacheHierarchy uniqueName="[Measures].[Count of الصنف]" caption="Count of الصنف" measure="1" displayFolder="" measureGroup="ماسيو"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ماسيو" uniqueName="[ماسيو]" caption="ماسيو"/>
  </dimensions>
  <measureGroups count="1">
    <measureGroup name="ماسيو" caption="ماسيو"/>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i Ashraf" refreshedDate="46141.166153472223" createdVersion="5" refreshedVersion="8" minRefreshableVersion="3" recordCount="0" supportSubquery="1" supportAdvancedDrill="1" xr:uid="{ABA5000B-89FA-44DD-B9B0-F2E1B5FCEB34}">
  <cacheSource type="external" connectionId="2"/>
  <cacheFields count="3">
    <cacheField name="[ماسيو].[الحالة].[الحالة]" caption="الحالة" numFmtId="0" hierarchy="19" level="1">
      <sharedItems containsSemiMixedTypes="0" containsNonDate="0" containsString="0"/>
    </cacheField>
    <cacheField name="[Measures].[Sum of سعر البيع]" caption="Sum of سعر البيع" numFmtId="0" hierarchy="27" level="32767"/>
    <cacheField name="[ماسيو].[منصة البيع].[منصة البيع]" caption="منصة البيع" numFmtId="0" hierarchy="4" level="1">
      <sharedItems containsSemiMixedTypes="0" containsNonDate="0" containsString="0"/>
    </cacheField>
  </cacheFields>
  <cacheHierarchies count="36">
    <cacheHierarchy uniqueName="[ماسيو].[أسم العميل]" caption="أسم العميل" attribute="1" defaultMemberUniqueName="[ماسيو].[أسم العميل].[All]" allUniqueName="[ماسيو].[أسم العميل].[All]" dimensionUniqueName="[ماسيو]" displayFolder="" count="0" memberValueDatatype="130" unbalanced="0"/>
    <cacheHierarchy uniqueName="[ماسيو].[نوع العميل]" caption="نوع العميل" attribute="1" defaultMemberUniqueName="[ماسيو].[نوع العميل].[All]" allUniqueName="[ماسيو].[نوع العميل].[All]" dimensionUniqueName="[ماسيو]" displayFolder="" count="0" memberValueDatatype="130" unbalanced="0"/>
    <cacheHierarchy uniqueName="[ماسيو].[العنوان]" caption="العنوان" attribute="1" defaultMemberUniqueName="[ماسيو].[العنوان].[All]" allUniqueName="[ماسيو].[العنوان].[All]" dimensionUniqueName="[ماسيو]" displayFolder="" count="0" memberValueDatatype="130" unbalanced="0"/>
    <cacheHierarchy uniqueName="[ماسيو].[المحافظه]" caption="المحافظه" attribute="1" defaultMemberUniqueName="[ماسيو].[المحافظه].[All]" allUniqueName="[ماسيو].[المحافظه].[All]" dimensionUniqueName="[ماسيو]" displayFolder="" count="2" memberValueDatatype="130" unbalanced="0"/>
    <cacheHierarchy uniqueName="[ماسيو].[منصة البيع]" caption="منصة البيع" attribute="1" defaultMemberUniqueName="[ماسيو].[منصة البيع].[All]" allUniqueName="[ماسيو].[منصة البيع].[All]" dimensionUniqueName="[ماسيو]" displayFolder="" count="2" memberValueDatatype="130" unbalanced="0">
      <fieldsUsage count="2">
        <fieldUsage x="-1"/>
        <fieldUsage x="2"/>
      </fieldsUsage>
    </cacheHierarchy>
    <cacheHierarchy uniqueName="[ماسيو].[الصنف]" caption="الصنف" attribute="1" defaultMemberUniqueName="[ماسيو].[الصنف].[All]" allUniqueName="[ماسيو].[الصنف].[All]" dimensionUniqueName="[ماسيو]" displayFolder="" count="0" memberValueDatatype="130" unbalanced="0"/>
    <cacheHierarchy uniqueName="[ماسيو].[النوع]" caption="النوع" attribute="1" defaultMemberUniqueName="[ماسيو].[النوع].[All]" allUniqueName="[ماسيو].[النوع].[All]" dimensionUniqueName="[ماسيو]" displayFolder="" count="0" memberValueDatatype="130" unbalanced="0"/>
    <cacheHierarchy uniqueName="[ماسيو].[الاسم]" caption="الاسم" attribute="1" defaultMemberUniqueName="[ماسيو].[الاسم].[All]" allUniqueName="[ماسيو].[الاسم].[All]" dimensionUniqueName="[ماسيو]" displayFolder="" count="0" memberValueDatatype="130" unbalanced="0"/>
    <cacheHierarchy uniqueName="[ماسيو].[المقاس]" caption="المقاس" attribute="1" defaultMemberUniqueName="[ماسيو].[المقاس].[All]" allUniqueName="[ماسيو].[المقاس].[All]" dimensionUniqueName="[ماسيو]" displayFolder="" count="0" memberValueDatatype="130" unbalanced="0"/>
    <cacheHierarchy uniqueName="[ماسيو].[لون المنتج]" caption="لون المنتج" attribute="1" defaultMemberUniqueName="[ماسيو].[لون المنتج].[All]" allUniqueName="[ماسيو].[لون المنتج].[All]" dimensionUniqueName="[ماسيو]" displayFolder="" count="2" memberValueDatatype="130" unbalanced="0"/>
    <cacheHierarchy uniqueName="[ماسيو].[لون القماش]" caption="لون القماش" attribute="1" defaultMemberUniqueName="[ماسيو].[لون القماش].[All]" allUniqueName="[ماسيو].[لون القماش].[All]" dimensionUniqueName="[ماسيو]" displayFolder="" count="0" memberValueDatatype="130" unbalanced="0"/>
    <cacheHierarchy uniqueName="[ماسيو].[المنتج]" caption="المنتج" attribute="1" defaultMemberUniqueName="[ماسيو].[المنتج].[All]" allUniqueName="[ماسيو].[المنتج].[All]" dimensionUniqueName="[ماسيو]" displayFolder="" count="0" memberValueDatatype="130" unbalanced="0"/>
    <cacheHierarchy uniqueName="[ماسيو].[سعر البيع]" caption="سعر البيع" attribute="1" defaultMemberUniqueName="[ماسيو].[سعر البيع].[All]" allUniqueName="[ماسيو].[سعر البيع].[All]" dimensionUniqueName="[ماسيو]" displayFolder="" count="0" memberValueDatatype="5" unbalanced="0"/>
    <cacheHierarchy uniqueName="[ماسيو].[طريقه الدفع]" caption="طريقه الدفع" attribute="1" defaultMemberUniqueName="[ماسيو].[طريقه الدفع].[All]" allUniqueName="[ماسيو].[طريقه الدفع].[All]" dimensionUniqueName="[ماسيو]" displayFolder="" count="0" memberValueDatatype="130" unbalanced="0"/>
    <cacheHierarchy uniqueName="[ماسيو].[نوع الدفع]" caption="نوع الدفع" attribute="1" defaultMemberUniqueName="[ماسيو].[نوع الدفع].[All]" allUniqueName="[ماسيو].[نوع الدفع].[All]" dimensionUniqueName="[ماسيو]" displayFolder="" count="0" memberValueDatatype="130" unbalanced="0"/>
    <cacheHierarchy uniqueName="[ماسيو].[ميعاد الطلب]" caption="ميعاد الطلب" attribute="1" time="1" defaultMemberUniqueName="[ماسيو].[ميعاد الطلب].[All]" allUniqueName="[ماسيو].[ميعاد الطلب].[All]" dimensionUniqueName="[ماسيو]" displayFolder="" count="0" memberValueDatatype="7" unbalanced="0"/>
    <cacheHierarchy uniqueName="[ماسيو].[ميعاد التسليم]" caption="ميعاد التسليم" attribute="1" time="1" defaultMemberUniqueName="[ماسيو].[ميعاد التسليم].[All]" allUniqueName="[ماسيو].[ميعاد التسليم].[All]" dimensionUniqueName="[ماسيو]" displayFolder="" count="0" memberValueDatatype="7" unbalanced="0"/>
    <cacheHierarchy uniqueName="[ماسيو].[تاريخ التسليم]" caption="تاريخ التسليم" attribute="1" time="1" defaultMemberUniqueName="[ماسيو].[تاريخ التسليم].[All]" allUniqueName="[ماسيو].[تاريخ التسليم].[All]" dimensionUniqueName="[ماسيو]" displayFolder="" count="0" memberValueDatatype="7" unbalanced="0"/>
    <cacheHierarchy uniqueName="[ماسيو].[المسئول عن التسليم]" caption="المسئول عن التسليم" attribute="1" defaultMemberUniqueName="[ماسيو].[المسئول عن التسليم].[All]" allUniqueName="[ماسيو].[المسئول عن التسليم].[All]" dimensionUniqueName="[ماسيو]" displayFolder="" count="0" memberValueDatatype="130" unbalanced="0"/>
    <cacheHierarchy uniqueName="[ماسيو].[الحالة]" caption="الحالة" attribute="1" defaultMemberUniqueName="[ماسيو].[الحالة].[All]" allUniqueName="[ماسيو].[الحالة].[All]" dimensionUniqueName="[ماسيو]" displayFolder="" count="2" memberValueDatatype="130" unbalanced="0">
      <fieldsUsage count="2">
        <fieldUsage x="-1"/>
        <fieldUsage x="0"/>
      </fieldsUsage>
    </cacheHierarchy>
    <cacheHierarchy uniqueName="[ماسيو].[مده التسليم (الهدف)]" caption="مده التسليم (الهدف)" attribute="1" defaultMemberUniqueName="[ماسيو].[مده التسليم (الهدف)].[All]" allUniqueName="[ماسيو].[مده التسليم (الهدف)].[All]" dimensionUniqueName="[ماسيو]" displayFolder="" count="0" memberValueDatatype="20" unbalanced="0"/>
    <cacheHierarchy uniqueName="[ماسيو].[مده التسليم (الفعلي)]" caption="مده التسليم (الفعلي)" attribute="1" defaultMemberUniqueName="[ماسيو].[مده التسليم (الفعلي)].[All]" allUniqueName="[ماسيو].[مده التسليم (الفعلي)].[All]" dimensionUniqueName="[ماسيو]" displayFolder="" count="0" memberValueDatatype="20" unbalanced="0"/>
    <cacheHierarchy uniqueName="[ماسيو].[حاله التوصيل]" caption="حاله التوصيل" attribute="1" defaultMemberUniqueName="[ماسيو].[حاله التوصيل].[All]" allUniqueName="[ماسيو].[حاله التوصيل].[All]" dimensionUniqueName="[ماسيو]" displayFolder="" count="0" memberValueDatatype="130" unbalanced="0"/>
    <cacheHierarchy uniqueName="[Measures].[total_orders]" caption="total_orders" measure="1" displayFolder="" measureGroup="ماسيو" count="0"/>
    <cacheHierarchy uniqueName="[Measures].[count_persons and companies]" caption="count_persons and companies" measure="1" displayFolder="" measureGroup="ماسيو" count="0"/>
    <cacheHierarchy uniqueName="[Measures].[__XL_Count ماسيو]" caption="__XL_Count ماسيو" measure="1" displayFolder="" measureGroup="ماسيو" count="0" hidden="1"/>
    <cacheHierarchy uniqueName="[Measures].[__No measures defined]" caption="__No measures defined" measure="1" displayFolder="" count="0" hidden="1"/>
    <cacheHierarchy uniqueName="[Measures].[Sum of سعر البيع]" caption="Sum of سعر البيع" measure="1" displayFolder="" measureGroup="ماسيو" count="0" oneField="1" hidden="1">
      <fieldsUsage count="1">
        <fieldUsage x="1"/>
      </fieldsUsage>
      <extLst>
        <ext xmlns:x15="http://schemas.microsoft.com/office/spreadsheetml/2010/11/main" uri="{B97F6D7D-B522-45F9-BDA1-12C45D357490}">
          <x15:cacheHierarchy aggregatedColumn="12"/>
        </ext>
      </extLst>
    </cacheHierarchy>
    <cacheHierarchy uniqueName="[Measures].[Average of سعر البيع]" caption="Average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Count of المنتج]" caption="Count of المنتج" measure="1" displayFolder="" measureGroup="ماسيو" count="0" hidden="1">
      <extLst>
        <ext xmlns:x15="http://schemas.microsoft.com/office/spreadsheetml/2010/11/main" uri="{B97F6D7D-B522-45F9-BDA1-12C45D357490}">
          <x15:cacheHierarchy aggregatedColumn="11"/>
        </ext>
      </extLst>
    </cacheHierarchy>
    <cacheHierarchy uniqueName="[Measures].[Count of لون المنتج]" caption="Count of لون المنتج" measure="1" displayFolder="" measureGroup="ماسيو" count="0" hidden="1">
      <extLst>
        <ext xmlns:x15="http://schemas.microsoft.com/office/spreadsheetml/2010/11/main" uri="{B97F6D7D-B522-45F9-BDA1-12C45D357490}">
          <x15:cacheHierarchy aggregatedColumn="9"/>
        </ext>
      </extLst>
    </cacheHierarchy>
    <cacheHierarchy uniqueName="[Measures].[Count of حاله التوصيل]" caption="Count of حاله التوصيل" measure="1" displayFolder="" measureGroup="ماسيو" count="0" hidden="1">
      <extLst>
        <ext xmlns:x15="http://schemas.microsoft.com/office/spreadsheetml/2010/11/main" uri="{B97F6D7D-B522-45F9-BDA1-12C45D357490}">
          <x15:cacheHierarchy aggregatedColumn="22"/>
        </ext>
      </extLst>
    </cacheHierarchy>
    <cacheHierarchy uniqueName="[Measures].[Count of المحافظه]" caption="Count of المحافظه" measure="1" displayFolder="" measureGroup="ماسيو" count="0" hidden="1">
      <extLst>
        <ext xmlns:x15="http://schemas.microsoft.com/office/spreadsheetml/2010/11/main" uri="{B97F6D7D-B522-45F9-BDA1-12C45D357490}">
          <x15:cacheHierarchy aggregatedColumn="3"/>
        </ext>
      </extLst>
    </cacheHierarchy>
    <cacheHierarchy uniqueName="[Measures].[Count of أسم العميل]" caption="Count of أسم العميل" measure="1" displayFolder="" measureGroup="ماسيو" count="0" hidden="1">
      <extLst>
        <ext xmlns:x15="http://schemas.microsoft.com/office/spreadsheetml/2010/11/main" uri="{B97F6D7D-B522-45F9-BDA1-12C45D357490}">
          <x15:cacheHierarchy aggregatedColumn="0"/>
        </ext>
      </extLst>
    </cacheHierarchy>
    <cacheHierarchy uniqueName="[Measures].[Count of نوع العميل]" caption="Count of نوع العميل" measure="1" displayFolder="" measureGroup="ماسيو" count="0" hidden="1">
      <extLst>
        <ext xmlns:x15="http://schemas.microsoft.com/office/spreadsheetml/2010/11/main" uri="{B97F6D7D-B522-45F9-BDA1-12C45D357490}">
          <x15:cacheHierarchy aggregatedColumn="1"/>
        </ext>
      </extLst>
    </cacheHierarchy>
    <cacheHierarchy uniqueName="[Measures].[Count of الصنف]" caption="Count of الصنف" measure="1" displayFolder="" measureGroup="ماسيو"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ماسيو" uniqueName="[ماسيو]" caption="ماسيو"/>
  </dimensions>
  <measureGroups count="1">
    <measureGroup name="ماسيو" caption="ماسيو"/>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i Ashraf" refreshedDate="46141.166153819446" createdVersion="5" refreshedVersion="8" minRefreshableVersion="3" recordCount="0" supportSubquery="1" supportAdvancedDrill="1" xr:uid="{48F9500B-7880-409B-825F-8E4D06751D18}">
  <cacheSource type="external" connectionId="2"/>
  <cacheFields count="4">
    <cacheField name="[ماسيو].[الحالة].[الحالة]" caption="الحالة" numFmtId="0" hierarchy="19" level="1">
      <sharedItems containsSemiMixedTypes="0" containsNonDate="0" containsString="0"/>
    </cacheField>
    <cacheField name="[ماسيو].[المحافظه].[المحافظه]" caption="المحافظه" numFmtId="0" hierarchy="3" level="1">
      <sharedItems count="10">
        <s v="أسيوط"/>
        <s v="الإسكندرية"/>
        <s v="البحر الأحمر"/>
        <s v="الجيزة"/>
        <s v="السويس"/>
        <s v="القاهرة"/>
        <s v="القليوبية"/>
        <s v="غير محدد"/>
        <s v="غير معروف"/>
        <s v="مطروح"/>
      </sharedItems>
    </cacheField>
    <cacheField name="[Measures].[Count of أسم العميل]" caption="Count of أسم العميل" numFmtId="0" hierarchy="33" level="32767"/>
    <cacheField name="[ماسيو].[منصة البيع].[منصة البيع]" caption="منصة البيع" numFmtId="0" hierarchy="4" level="1">
      <sharedItems containsSemiMixedTypes="0" containsNonDate="0" containsString="0"/>
    </cacheField>
  </cacheFields>
  <cacheHierarchies count="36">
    <cacheHierarchy uniqueName="[ماسيو].[أسم العميل]" caption="أسم العميل" attribute="1" defaultMemberUniqueName="[ماسيو].[أسم العميل].[All]" allUniqueName="[ماسيو].[أسم العميل].[All]" dimensionUniqueName="[ماسيو]" displayFolder="" count="0" memberValueDatatype="130" unbalanced="0"/>
    <cacheHierarchy uniqueName="[ماسيو].[نوع العميل]" caption="نوع العميل" attribute="1" defaultMemberUniqueName="[ماسيو].[نوع العميل].[All]" allUniqueName="[ماسيو].[نوع العميل].[All]" dimensionUniqueName="[ماسيو]" displayFolder="" count="0" memberValueDatatype="130" unbalanced="0"/>
    <cacheHierarchy uniqueName="[ماسيو].[العنوان]" caption="العنوان" attribute="1" defaultMemberUniqueName="[ماسيو].[العنوان].[All]" allUniqueName="[ماسيو].[العنوان].[All]" dimensionUniqueName="[ماسيو]" displayFolder="" count="0" memberValueDatatype="130" unbalanced="0"/>
    <cacheHierarchy uniqueName="[ماسيو].[المحافظه]" caption="المحافظه" attribute="1" defaultMemberUniqueName="[ماسيو].[المحافظه].[All]" allUniqueName="[ماسيو].[المحافظه].[All]" dimensionUniqueName="[ماسيو]" displayFolder="" count="2" memberValueDatatype="130" unbalanced="0">
      <fieldsUsage count="2">
        <fieldUsage x="-1"/>
        <fieldUsage x="1"/>
      </fieldsUsage>
    </cacheHierarchy>
    <cacheHierarchy uniqueName="[ماسيو].[منصة البيع]" caption="منصة البيع" attribute="1" defaultMemberUniqueName="[ماسيو].[منصة البيع].[All]" allUniqueName="[ماسيو].[منصة البيع].[All]" dimensionUniqueName="[ماسيو]" displayFolder="" count="2" memberValueDatatype="130" unbalanced="0">
      <fieldsUsage count="2">
        <fieldUsage x="-1"/>
        <fieldUsage x="3"/>
      </fieldsUsage>
    </cacheHierarchy>
    <cacheHierarchy uniqueName="[ماسيو].[الصنف]" caption="الصنف" attribute="1" defaultMemberUniqueName="[ماسيو].[الصنف].[All]" allUniqueName="[ماسيو].[الصنف].[All]" dimensionUniqueName="[ماسيو]" displayFolder="" count="0" memberValueDatatype="130" unbalanced="0"/>
    <cacheHierarchy uniqueName="[ماسيو].[النوع]" caption="النوع" attribute="1" defaultMemberUniqueName="[ماسيو].[النوع].[All]" allUniqueName="[ماسيو].[النوع].[All]" dimensionUniqueName="[ماسيو]" displayFolder="" count="0" memberValueDatatype="130" unbalanced="0"/>
    <cacheHierarchy uniqueName="[ماسيو].[الاسم]" caption="الاسم" attribute="1" defaultMemberUniqueName="[ماسيو].[الاسم].[All]" allUniqueName="[ماسيو].[الاسم].[All]" dimensionUniqueName="[ماسيو]" displayFolder="" count="0" memberValueDatatype="130" unbalanced="0"/>
    <cacheHierarchy uniqueName="[ماسيو].[المقاس]" caption="المقاس" attribute="1" defaultMemberUniqueName="[ماسيو].[المقاس].[All]" allUniqueName="[ماسيو].[المقاس].[All]" dimensionUniqueName="[ماسيو]" displayFolder="" count="0" memberValueDatatype="130" unbalanced="0"/>
    <cacheHierarchy uniqueName="[ماسيو].[لون المنتج]" caption="لون المنتج" attribute="1" defaultMemberUniqueName="[ماسيو].[لون المنتج].[All]" allUniqueName="[ماسيو].[لون المنتج].[All]" dimensionUniqueName="[ماسيو]" displayFolder="" count="2" memberValueDatatype="130" unbalanced="0"/>
    <cacheHierarchy uniqueName="[ماسيو].[لون القماش]" caption="لون القماش" attribute="1" defaultMemberUniqueName="[ماسيو].[لون القماش].[All]" allUniqueName="[ماسيو].[لون القماش].[All]" dimensionUniqueName="[ماسيو]" displayFolder="" count="0" memberValueDatatype="130" unbalanced="0"/>
    <cacheHierarchy uniqueName="[ماسيو].[المنتج]" caption="المنتج" attribute="1" defaultMemberUniqueName="[ماسيو].[المنتج].[All]" allUniqueName="[ماسيو].[المنتج].[All]" dimensionUniqueName="[ماسيو]" displayFolder="" count="0" memberValueDatatype="130" unbalanced="0"/>
    <cacheHierarchy uniqueName="[ماسيو].[سعر البيع]" caption="سعر البيع" attribute="1" defaultMemberUniqueName="[ماسيو].[سعر البيع].[All]" allUniqueName="[ماسيو].[سعر البيع].[All]" dimensionUniqueName="[ماسيو]" displayFolder="" count="0" memberValueDatatype="5" unbalanced="0"/>
    <cacheHierarchy uniqueName="[ماسيو].[طريقه الدفع]" caption="طريقه الدفع" attribute="1" defaultMemberUniqueName="[ماسيو].[طريقه الدفع].[All]" allUniqueName="[ماسيو].[طريقه الدفع].[All]" dimensionUniqueName="[ماسيو]" displayFolder="" count="0" memberValueDatatype="130" unbalanced="0"/>
    <cacheHierarchy uniqueName="[ماسيو].[نوع الدفع]" caption="نوع الدفع" attribute="1" defaultMemberUniqueName="[ماسيو].[نوع الدفع].[All]" allUniqueName="[ماسيو].[نوع الدفع].[All]" dimensionUniqueName="[ماسيو]" displayFolder="" count="0" memberValueDatatype="130" unbalanced="0"/>
    <cacheHierarchy uniqueName="[ماسيو].[ميعاد الطلب]" caption="ميعاد الطلب" attribute="1" time="1" defaultMemberUniqueName="[ماسيو].[ميعاد الطلب].[All]" allUniqueName="[ماسيو].[ميعاد الطلب].[All]" dimensionUniqueName="[ماسيو]" displayFolder="" count="0" memberValueDatatype="7" unbalanced="0"/>
    <cacheHierarchy uniqueName="[ماسيو].[ميعاد التسليم]" caption="ميعاد التسليم" attribute="1" time="1" defaultMemberUniqueName="[ماسيو].[ميعاد التسليم].[All]" allUniqueName="[ماسيو].[ميعاد التسليم].[All]" dimensionUniqueName="[ماسيو]" displayFolder="" count="0" memberValueDatatype="7" unbalanced="0"/>
    <cacheHierarchy uniqueName="[ماسيو].[تاريخ التسليم]" caption="تاريخ التسليم" attribute="1" time="1" defaultMemberUniqueName="[ماسيو].[تاريخ التسليم].[All]" allUniqueName="[ماسيو].[تاريخ التسليم].[All]" dimensionUniqueName="[ماسيو]" displayFolder="" count="0" memberValueDatatype="7" unbalanced="0"/>
    <cacheHierarchy uniqueName="[ماسيو].[المسئول عن التسليم]" caption="المسئول عن التسليم" attribute="1" defaultMemberUniqueName="[ماسيو].[المسئول عن التسليم].[All]" allUniqueName="[ماسيو].[المسئول عن التسليم].[All]" dimensionUniqueName="[ماسيو]" displayFolder="" count="0" memberValueDatatype="130" unbalanced="0"/>
    <cacheHierarchy uniqueName="[ماسيو].[الحالة]" caption="الحالة" attribute="1" defaultMemberUniqueName="[ماسيو].[الحالة].[All]" allUniqueName="[ماسيو].[الحالة].[All]" dimensionUniqueName="[ماسيو]" displayFolder="" count="2" memberValueDatatype="130" unbalanced="0">
      <fieldsUsage count="2">
        <fieldUsage x="-1"/>
        <fieldUsage x="0"/>
      </fieldsUsage>
    </cacheHierarchy>
    <cacheHierarchy uniqueName="[ماسيو].[مده التسليم (الهدف)]" caption="مده التسليم (الهدف)" attribute="1" defaultMemberUniqueName="[ماسيو].[مده التسليم (الهدف)].[All]" allUniqueName="[ماسيو].[مده التسليم (الهدف)].[All]" dimensionUniqueName="[ماسيو]" displayFolder="" count="0" memberValueDatatype="20" unbalanced="0"/>
    <cacheHierarchy uniqueName="[ماسيو].[مده التسليم (الفعلي)]" caption="مده التسليم (الفعلي)" attribute="1" defaultMemberUniqueName="[ماسيو].[مده التسليم (الفعلي)].[All]" allUniqueName="[ماسيو].[مده التسليم (الفعلي)].[All]" dimensionUniqueName="[ماسيو]" displayFolder="" count="0" memberValueDatatype="20" unbalanced="0"/>
    <cacheHierarchy uniqueName="[ماسيو].[حاله التوصيل]" caption="حاله التوصيل" attribute="1" defaultMemberUniqueName="[ماسيو].[حاله التوصيل].[All]" allUniqueName="[ماسيو].[حاله التوصيل].[All]" dimensionUniqueName="[ماسيو]" displayFolder="" count="0" memberValueDatatype="130" unbalanced="0"/>
    <cacheHierarchy uniqueName="[Measures].[total_orders]" caption="total_orders" measure="1" displayFolder="" measureGroup="ماسيو" count="0"/>
    <cacheHierarchy uniqueName="[Measures].[count_persons and companies]" caption="count_persons and companies" measure="1" displayFolder="" measureGroup="ماسيو" count="0"/>
    <cacheHierarchy uniqueName="[Measures].[__XL_Count ماسيو]" caption="__XL_Count ماسيو" measure="1" displayFolder="" measureGroup="ماسيو" count="0" hidden="1"/>
    <cacheHierarchy uniqueName="[Measures].[__No measures defined]" caption="__No measures defined" measure="1" displayFolder="" count="0" hidden="1"/>
    <cacheHierarchy uniqueName="[Measures].[Sum of سعر البيع]" caption="Sum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Average of سعر البيع]" caption="Average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Count of المنتج]" caption="Count of المنتج" measure="1" displayFolder="" measureGroup="ماسيو" count="0" hidden="1">
      <extLst>
        <ext xmlns:x15="http://schemas.microsoft.com/office/spreadsheetml/2010/11/main" uri="{B97F6D7D-B522-45F9-BDA1-12C45D357490}">
          <x15:cacheHierarchy aggregatedColumn="11"/>
        </ext>
      </extLst>
    </cacheHierarchy>
    <cacheHierarchy uniqueName="[Measures].[Count of لون المنتج]" caption="Count of لون المنتج" measure="1" displayFolder="" measureGroup="ماسيو" count="0" hidden="1">
      <extLst>
        <ext xmlns:x15="http://schemas.microsoft.com/office/spreadsheetml/2010/11/main" uri="{B97F6D7D-B522-45F9-BDA1-12C45D357490}">
          <x15:cacheHierarchy aggregatedColumn="9"/>
        </ext>
      </extLst>
    </cacheHierarchy>
    <cacheHierarchy uniqueName="[Measures].[Count of حاله التوصيل]" caption="Count of حاله التوصيل" measure="1" displayFolder="" measureGroup="ماسيو" count="0" hidden="1">
      <extLst>
        <ext xmlns:x15="http://schemas.microsoft.com/office/spreadsheetml/2010/11/main" uri="{B97F6D7D-B522-45F9-BDA1-12C45D357490}">
          <x15:cacheHierarchy aggregatedColumn="22"/>
        </ext>
      </extLst>
    </cacheHierarchy>
    <cacheHierarchy uniqueName="[Measures].[Count of المحافظه]" caption="Count of المحافظه" measure="1" displayFolder="" measureGroup="ماسيو" count="0" hidden="1">
      <extLst>
        <ext xmlns:x15="http://schemas.microsoft.com/office/spreadsheetml/2010/11/main" uri="{B97F6D7D-B522-45F9-BDA1-12C45D357490}">
          <x15:cacheHierarchy aggregatedColumn="3"/>
        </ext>
      </extLst>
    </cacheHierarchy>
    <cacheHierarchy uniqueName="[Measures].[Count of أسم العميل]" caption="Count of أسم العميل" measure="1" displayFolder="" measureGroup="ماسيو" count="0" oneField="1" hidden="1">
      <fieldsUsage count="1">
        <fieldUsage x="2"/>
      </fieldsUsage>
      <extLst>
        <ext xmlns:x15="http://schemas.microsoft.com/office/spreadsheetml/2010/11/main" uri="{B97F6D7D-B522-45F9-BDA1-12C45D357490}">
          <x15:cacheHierarchy aggregatedColumn="0"/>
        </ext>
      </extLst>
    </cacheHierarchy>
    <cacheHierarchy uniqueName="[Measures].[Count of نوع العميل]" caption="Count of نوع العميل" measure="1" displayFolder="" measureGroup="ماسيو" count="0" hidden="1">
      <extLst>
        <ext xmlns:x15="http://schemas.microsoft.com/office/spreadsheetml/2010/11/main" uri="{B97F6D7D-B522-45F9-BDA1-12C45D357490}">
          <x15:cacheHierarchy aggregatedColumn="1"/>
        </ext>
      </extLst>
    </cacheHierarchy>
    <cacheHierarchy uniqueName="[Measures].[Count of الصنف]" caption="Count of الصنف" measure="1" displayFolder="" measureGroup="ماسيو"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ماسيو" uniqueName="[ماسيو]" caption="ماسيو"/>
  </dimensions>
  <measureGroups count="1">
    <measureGroup name="ماسيو" caption="ماسيو"/>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i Ashraf" refreshedDate="46141.166154166669" createdVersion="5" refreshedVersion="8" minRefreshableVersion="3" recordCount="0" supportSubquery="1" supportAdvancedDrill="1" xr:uid="{4BA86F06-85A4-4E94-87B9-2DF56258755D}">
  <cacheSource type="external" connectionId="2"/>
  <cacheFields count="4">
    <cacheField name="[ماسيو].[الحالة].[الحالة]" caption="الحالة" numFmtId="0" hierarchy="19" level="1">
      <sharedItems containsSemiMixedTypes="0" containsNonDate="0" containsString="0"/>
    </cacheField>
    <cacheField name="[ماسيو].[نوع العميل].[نوع العميل]" caption="نوع العميل" numFmtId="0" hierarchy="1" level="1">
      <sharedItems count="2">
        <s v="أفراد"/>
        <s v="شركة"/>
      </sharedItems>
    </cacheField>
    <cacheField name="[Measures].[Count of نوع العميل]" caption="Count of نوع العميل" numFmtId="0" hierarchy="34" level="32767"/>
    <cacheField name="[ماسيو].[منصة البيع].[منصة البيع]" caption="منصة البيع" numFmtId="0" hierarchy="4" level="1">
      <sharedItems containsSemiMixedTypes="0" containsNonDate="0" containsString="0"/>
    </cacheField>
  </cacheFields>
  <cacheHierarchies count="36">
    <cacheHierarchy uniqueName="[ماسيو].[أسم العميل]" caption="أسم العميل" attribute="1" defaultMemberUniqueName="[ماسيو].[أسم العميل].[All]" allUniqueName="[ماسيو].[أسم العميل].[All]" dimensionUniqueName="[ماسيو]" displayFolder="" count="0" memberValueDatatype="130" unbalanced="0"/>
    <cacheHierarchy uniqueName="[ماسيو].[نوع العميل]" caption="نوع العميل" attribute="1" defaultMemberUniqueName="[ماسيو].[نوع العميل].[All]" allUniqueName="[ماسيو].[نوع العميل].[All]" dimensionUniqueName="[ماسيو]" displayFolder="" count="2" memberValueDatatype="130" unbalanced="0">
      <fieldsUsage count="2">
        <fieldUsage x="-1"/>
        <fieldUsage x="1"/>
      </fieldsUsage>
    </cacheHierarchy>
    <cacheHierarchy uniqueName="[ماسيو].[العنوان]" caption="العنوان" attribute="1" defaultMemberUniqueName="[ماسيو].[العنوان].[All]" allUniqueName="[ماسيو].[العنوان].[All]" dimensionUniqueName="[ماسيو]" displayFolder="" count="0" memberValueDatatype="130" unbalanced="0"/>
    <cacheHierarchy uniqueName="[ماسيو].[المحافظه]" caption="المحافظه" attribute="1" defaultMemberUniqueName="[ماسيو].[المحافظه].[All]" allUniqueName="[ماسيو].[المحافظه].[All]" dimensionUniqueName="[ماسيو]" displayFolder="" count="2" memberValueDatatype="130" unbalanced="0"/>
    <cacheHierarchy uniqueName="[ماسيو].[منصة البيع]" caption="منصة البيع" attribute="1" defaultMemberUniqueName="[ماسيو].[منصة البيع].[All]" allUniqueName="[ماسيو].[منصة البيع].[All]" dimensionUniqueName="[ماسيو]" displayFolder="" count="2" memberValueDatatype="130" unbalanced="0">
      <fieldsUsage count="2">
        <fieldUsage x="-1"/>
        <fieldUsage x="3"/>
      </fieldsUsage>
    </cacheHierarchy>
    <cacheHierarchy uniqueName="[ماسيو].[الصنف]" caption="الصنف" attribute="1" defaultMemberUniqueName="[ماسيو].[الصنف].[All]" allUniqueName="[ماسيو].[الصنف].[All]" dimensionUniqueName="[ماسيو]" displayFolder="" count="0" memberValueDatatype="130" unbalanced="0"/>
    <cacheHierarchy uniqueName="[ماسيو].[النوع]" caption="النوع" attribute="1" defaultMemberUniqueName="[ماسيو].[النوع].[All]" allUniqueName="[ماسيو].[النوع].[All]" dimensionUniqueName="[ماسيو]" displayFolder="" count="0" memberValueDatatype="130" unbalanced="0"/>
    <cacheHierarchy uniqueName="[ماسيو].[الاسم]" caption="الاسم" attribute="1" defaultMemberUniqueName="[ماسيو].[الاسم].[All]" allUniqueName="[ماسيو].[الاسم].[All]" dimensionUniqueName="[ماسيو]" displayFolder="" count="0" memberValueDatatype="130" unbalanced="0"/>
    <cacheHierarchy uniqueName="[ماسيو].[المقاس]" caption="المقاس" attribute="1" defaultMemberUniqueName="[ماسيو].[المقاس].[All]" allUniqueName="[ماسيو].[المقاس].[All]" dimensionUniqueName="[ماسيو]" displayFolder="" count="0" memberValueDatatype="130" unbalanced="0"/>
    <cacheHierarchy uniqueName="[ماسيو].[لون المنتج]" caption="لون المنتج" attribute="1" defaultMemberUniqueName="[ماسيو].[لون المنتج].[All]" allUniqueName="[ماسيو].[لون المنتج].[All]" dimensionUniqueName="[ماسيو]" displayFolder="" count="2" memberValueDatatype="130" unbalanced="0"/>
    <cacheHierarchy uniqueName="[ماسيو].[لون القماش]" caption="لون القماش" attribute="1" defaultMemberUniqueName="[ماسيو].[لون القماش].[All]" allUniqueName="[ماسيو].[لون القماش].[All]" dimensionUniqueName="[ماسيو]" displayFolder="" count="0" memberValueDatatype="130" unbalanced="0"/>
    <cacheHierarchy uniqueName="[ماسيو].[المنتج]" caption="المنتج" attribute="1" defaultMemberUniqueName="[ماسيو].[المنتج].[All]" allUniqueName="[ماسيو].[المنتج].[All]" dimensionUniqueName="[ماسيو]" displayFolder="" count="0" memberValueDatatype="130" unbalanced="0"/>
    <cacheHierarchy uniqueName="[ماسيو].[سعر البيع]" caption="سعر البيع" attribute="1" defaultMemberUniqueName="[ماسيو].[سعر البيع].[All]" allUniqueName="[ماسيو].[سعر البيع].[All]" dimensionUniqueName="[ماسيو]" displayFolder="" count="0" memberValueDatatype="5" unbalanced="0"/>
    <cacheHierarchy uniqueName="[ماسيو].[طريقه الدفع]" caption="طريقه الدفع" attribute="1" defaultMemberUniqueName="[ماسيو].[طريقه الدفع].[All]" allUniqueName="[ماسيو].[طريقه الدفع].[All]" dimensionUniqueName="[ماسيو]" displayFolder="" count="0" memberValueDatatype="130" unbalanced="0"/>
    <cacheHierarchy uniqueName="[ماسيو].[نوع الدفع]" caption="نوع الدفع" attribute="1" defaultMemberUniqueName="[ماسيو].[نوع الدفع].[All]" allUniqueName="[ماسيو].[نوع الدفع].[All]" dimensionUniqueName="[ماسيو]" displayFolder="" count="0" memberValueDatatype="130" unbalanced="0"/>
    <cacheHierarchy uniqueName="[ماسيو].[ميعاد الطلب]" caption="ميعاد الطلب" attribute="1" time="1" defaultMemberUniqueName="[ماسيو].[ميعاد الطلب].[All]" allUniqueName="[ماسيو].[ميعاد الطلب].[All]" dimensionUniqueName="[ماسيو]" displayFolder="" count="0" memberValueDatatype="7" unbalanced="0"/>
    <cacheHierarchy uniqueName="[ماسيو].[ميعاد التسليم]" caption="ميعاد التسليم" attribute="1" time="1" defaultMemberUniqueName="[ماسيو].[ميعاد التسليم].[All]" allUniqueName="[ماسيو].[ميعاد التسليم].[All]" dimensionUniqueName="[ماسيو]" displayFolder="" count="0" memberValueDatatype="7" unbalanced="0"/>
    <cacheHierarchy uniqueName="[ماسيو].[تاريخ التسليم]" caption="تاريخ التسليم" attribute="1" time="1" defaultMemberUniqueName="[ماسيو].[تاريخ التسليم].[All]" allUniqueName="[ماسيو].[تاريخ التسليم].[All]" dimensionUniqueName="[ماسيو]" displayFolder="" count="0" memberValueDatatype="7" unbalanced="0"/>
    <cacheHierarchy uniqueName="[ماسيو].[المسئول عن التسليم]" caption="المسئول عن التسليم" attribute="1" defaultMemberUniqueName="[ماسيو].[المسئول عن التسليم].[All]" allUniqueName="[ماسيو].[المسئول عن التسليم].[All]" dimensionUniqueName="[ماسيو]" displayFolder="" count="0" memberValueDatatype="130" unbalanced="0"/>
    <cacheHierarchy uniqueName="[ماسيو].[الحالة]" caption="الحالة" attribute="1" defaultMemberUniqueName="[ماسيو].[الحالة].[All]" allUniqueName="[ماسيو].[الحالة].[All]" dimensionUniqueName="[ماسيو]" displayFolder="" count="2" memberValueDatatype="130" unbalanced="0">
      <fieldsUsage count="2">
        <fieldUsage x="-1"/>
        <fieldUsage x="0"/>
      </fieldsUsage>
    </cacheHierarchy>
    <cacheHierarchy uniqueName="[ماسيو].[مده التسليم (الهدف)]" caption="مده التسليم (الهدف)" attribute="1" defaultMemberUniqueName="[ماسيو].[مده التسليم (الهدف)].[All]" allUniqueName="[ماسيو].[مده التسليم (الهدف)].[All]" dimensionUniqueName="[ماسيو]" displayFolder="" count="0" memberValueDatatype="20" unbalanced="0"/>
    <cacheHierarchy uniqueName="[ماسيو].[مده التسليم (الفعلي)]" caption="مده التسليم (الفعلي)" attribute="1" defaultMemberUniqueName="[ماسيو].[مده التسليم (الفعلي)].[All]" allUniqueName="[ماسيو].[مده التسليم (الفعلي)].[All]" dimensionUniqueName="[ماسيو]" displayFolder="" count="0" memberValueDatatype="20" unbalanced="0"/>
    <cacheHierarchy uniqueName="[ماسيو].[حاله التوصيل]" caption="حاله التوصيل" attribute="1" defaultMemberUniqueName="[ماسيو].[حاله التوصيل].[All]" allUniqueName="[ماسيو].[حاله التوصيل].[All]" dimensionUniqueName="[ماسيو]" displayFolder="" count="0" memberValueDatatype="130" unbalanced="0"/>
    <cacheHierarchy uniqueName="[Measures].[total_orders]" caption="total_orders" measure="1" displayFolder="" measureGroup="ماسيو" count="0"/>
    <cacheHierarchy uniqueName="[Measures].[count_persons and companies]" caption="count_persons and companies" measure="1" displayFolder="" measureGroup="ماسيو" count="0"/>
    <cacheHierarchy uniqueName="[Measures].[__XL_Count ماسيو]" caption="__XL_Count ماسيو" measure="1" displayFolder="" measureGroup="ماسيو" count="0" hidden="1"/>
    <cacheHierarchy uniqueName="[Measures].[__No measures defined]" caption="__No measures defined" measure="1" displayFolder="" count="0" hidden="1"/>
    <cacheHierarchy uniqueName="[Measures].[Sum of سعر البيع]" caption="Sum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Average of سعر البيع]" caption="Average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Count of المنتج]" caption="Count of المنتج" measure="1" displayFolder="" measureGroup="ماسيو" count="0" hidden="1">
      <extLst>
        <ext xmlns:x15="http://schemas.microsoft.com/office/spreadsheetml/2010/11/main" uri="{B97F6D7D-B522-45F9-BDA1-12C45D357490}">
          <x15:cacheHierarchy aggregatedColumn="11"/>
        </ext>
      </extLst>
    </cacheHierarchy>
    <cacheHierarchy uniqueName="[Measures].[Count of لون المنتج]" caption="Count of لون المنتج" measure="1" displayFolder="" measureGroup="ماسيو" count="0" hidden="1">
      <extLst>
        <ext xmlns:x15="http://schemas.microsoft.com/office/spreadsheetml/2010/11/main" uri="{B97F6D7D-B522-45F9-BDA1-12C45D357490}">
          <x15:cacheHierarchy aggregatedColumn="9"/>
        </ext>
      </extLst>
    </cacheHierarchy>
    <cacheHierarchy uniqueName="[Measures].[Count of حاله التوصيل]" caption="Count of حاله التوصيل" measure="1" displayFolder="" measureGroup="ماسيو" count="0" hidden="1">
      <extLst>
        <ext xmlns:x15="http://schemas.microsoft.com/office/spreadsheetml/2010/11/main" uri="{B97F6D7D-B522-45F9-BDA1-12C45D357490}">
          <x15:cacheHierarchy aggregatedColumn="22"/>
        </ext>
      </extLst>
    </cacheHierarchy>
    <cacheHierarchy uniqueName="[Measures].[Count of المحافظه]" caption="Count of المحافظه" measure="1" displayFolder="" measureGroup="ماسيو" count="0" hidden="1">
      <extLst>
        <ext xmlns:x15="http://schemas.microsoft.com/office/spreadsheetml/2010/11/main" uri="{B97F6D7D-B522-45F9-BDA1-12C45D357490}">
          <x15:cacheHierarchy aggregatedColumn="3"/>
        </ext>
      </extLst>
    </cacheHierarchy>
    <cacheHierarchy uniqueName="[Measures].[Count of أسم العميل]" caption="Count of أسم العميل" measure="1" displayFolder="" measureGroup="ماسيو" count="0" hidden="1">
      <extLst>
        <ext xmlns:x15="http://schemas.microsoft.com/office/spreadsheetml/2010/11/main" uri="{B97F6D7D-B522-45F9-BDA1-12C45D357490}">
          <x15:cacheHierarchy aggregatedColumn="0"/>
        </ext>
      </extLst>
    </cacheHierarchy>
    <cacheHierarchy uniqueName="[Measures].[Count of نوع العميل]" caption="Count of نوع العميل" measure="1" displayFolder="" measureGroup="ماسيو" count="0" oneField="1" hidden="1">
      <fieldsUsage count="1">
        <fieldUsage x="2"/>
      </fieldsUsage>
      <extLst>
        <ext xmlns:x15="http://schemas.microsoft.com/office/spreadsheetml/2010/11/main" uri="{B97F6D7D-B522-45F9-BDA1-12C45D357490}">
          <x15:cacheHierarchy aggregatedColumn="1"/>
        </ext>
      </extLst>
    </cacheHierarchy>
    <cacheHierarchy uniqueName="[Measures].[Count of الصنف]" caption="Count of الصنف" measure="1" displayFolder="" measureGroup="ماسيو"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ماسيو" uniqueName="[ماسيو]" caption="ماسيو"/>
  </dimensions>
  <measureGroups count="1">
    <measureGroup name="ماسيو" caption="ماسيو"/>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i Ashraf" refreshedDate="46141.166154513892" createdVersion="5" refreshedVersion="8" minRefreshableVersion="3" recordCount="0" supportSubquery="1" supportAdvancedDrill="1" xr:uid="{97C8E3E8-CF36-4424-A135-DBA1DC399C63}">
  <cacheSource type="external" connectionId="2"/>
  <cacheFields count="5">
    <cacheField name="[ماسيو].[الحالة].[الحالة]" caption="الحالة" numFmtId="0" hierarchy="19" level="1">
      <sharedItems containsSemiMixedTypes="0" containsNonDate="0" containsString="0"/>
    </cacheField>
    <cacheField name="[ماسيو].[المنتج].[المنتج]" caption="المنتج" numFmtId="0" hierarchy="11" level="1">
      <sharedItems count="1">
        <s v="غير معروف"/>
      </sharedItems>
    </cacheField>
    <cacheField name="[Measures].[Count of لون المنتج]" caption="Count of لون المنتج" numFmtId="0" hierarchy="30" level="32767"/>
    <cacheField name="[ماسيو].[لون المنتج].[لون المنتج]" caption="لون المنتج" numFmtId="0" hierarchy="9" level="1">
      <sharedItems count="5">
        <s v="ابيض"/>
        <s v="ازرق"/>
        <s v="اسود"/>
        <s v="بنفسجى"/>
        <s v="رمادى"/>
      </sharedItems>
    </cacheField>
    <cacheField name="[ماسيو].[منصة البيع].[منصة البيع]" caption="منصة البيع" numFmtId="0" hierarchy="4" level="1">
      <sharedItems containsSemiMixedTypes="0" containsNonDate="0" containsString="0"/>
    </cacheField>
  </cacheFields>
  <cacheHierarchies count="36">
    <cacheHierarchy uniqueName="[ماسيو].[أسم العميل]" caption="أسم العميل" attribute="1" defaultMemberUniqueName="[ماسيو].[أسم العميل].[All]" allUniqueName="[ماسيو].[أسم العميل].[All]" dimensionUniqueName="[ماسيو]" displayFolder="" count="0" memberValueDatatype="130" unbalanced="0"/>
    <cacheHierarchy uniqueName="[ماسيو].[نوع العميل]" caption="نوع العميل" attribute="1" defaultMemberUniqueName="[ماسيو].[نوع العميل].[All]" allUniqueName="[ماسيو].[نوع العميل].[All]" dimensionUniqueName="[ماسيو]" displayFolder="" count="0" memberValueDatatype="130" unbalanced="0"/>
    <cacheHierarchy uniqueName="[ماسيو].[العنوان]" caption="العنوان" attribute="1" defaultMemberUniqueName="[ماسيو].[العنوان].[All]" allUniqueName="[ماسيو].[العنوان].[All]" dimensionUniqueName="[ماسيو]" displayFolder="" count="0" memberValueDatatype="130" unbalanced="0"/>
    <cacheHierarchy uniqueName="[ماسيو].[المحافظه]" caption="المحافظه" attribute="1" defaultMemberUniqueName="[ماسيو].[المحافظه].[All]" allUniqueName="[ماسيو].[المحافظه].[All]" dimensionUniqueName="[ماسيو]" displayFolder="" count="2" memberValueDatatype="130" unbalanced="0"/>
    <cacheHierarchy uniqueName="[ماسيو].[منصة البيع]" caption="منصة البيع" attribute="1" defaultMemberUniqueName="[ماسيو].[منصة البيع].[All]" allUniqueName="[ماسيو].[منصة البيع].[All]" dimensionUniqueName="[ماسيو]" displayFolder="" count="2" memberValueDatatype="130" unbalanced="0">
      <fieldsUsage count="2">
        <fieldUsage x="-1"/>
        <fieldUsage x="4"/>
      </fieldsUsage>
    </cacheHierarchy>
    <cacheHierarchy uniqueName="[ماسيو].[الصنف]" caption="الصنف" attribute="1" defaultMemberUniqueName="[ماسيو].[الصنف].[All]" allUniqueName="[ماسيو].[الصنف].[All]" dimensionUniqueName="[ماسيو]" displayFolder="" count="0" memberValueDatatype="130" unbalanced="0"/>
    <cacheHierarchy uniqueName="[ماسيو].[النوع]" caption="النوع" attribute="1" defaultMemberUniqueName="[ماسيو].[النوع].[All]" allUniqueName="[ماسيو].[النوع].[All]" dimensionUniqueName="[ماسيو]" displayFolder="" count="0" memberValueDatatype="130" unbalanced="0"/>
    <cacheHierarchy uniqueName="[ماسيو].[الاسم]" caption="الاسم" attribute="1" defaultMemberUniqueName="[ماسيو].[الاسم].[All]" allUniqueName="[ماسيو].[الاسم].[All]" dimensionUniqueName="[ماسيو]" displayFolder="" count="0" memberValueDatatype="130" unbalanced="0"/>
    <cacheHierarchy uniqueName="[ماسيو].[المقاس]" caption="المقاس" attribute="1" defaultMemberUniqueName="[ماسيو].[المقاس].[All]" allUniqueName="[ماسيو].[المقاس].[All]" dimensionUniqueName="[ماسيو]" displayFolder="" count="0" memberValueDatatype="130" unbalanced="0"/>
    <cacheHierarchy uniqueName="[ماسيو].[لون المنتج]" caption="لون المنتج" attribute="1" defaultMemberUniqueName="[ماسيو].[لون المنتج].[All]" allUniqueName="[ماسيو].[لون المنتج].[All]" dimensionUniqueName="[ماسيو]" displayFolder="" count="2" memberValueDatatype="130" unbalanced="0">
      <fieldsUsage count="2">
        <fieldUsage x="-1"/>
        <fieldUsage x="3"/>
      </fieldsUsage>
    </cacheHierarchy>
    <cacheHierarchy uniqueName="[ماسيو].[لون القماش]" caption="لون القماش" attribute="1" defaultMemberUniqueName="[ماسيو].[لون القماش].[All]" allUniqueName="[ماسيو].[لون القماش].[All]" dimensionUniqueName="[ماسيو]" displayFolder="" count="0" memberValueDatatype="130" unbalanced="0"/>
    <cacheHierarchy uniqueName="[ماسيو].[المنتج]" caption="المنتج" attribute="1" defaultMemberUniqueName="[ماسيو].[المنتج].[All]" allUniqueName="[ماسيو].[المنتج].[All]" dimensionUniqueName="[ماسيو]" displayFolder="" count="2" memberValueDatatype="130" unbalanced="0">
      <fieldsUsage count="2">
        <fieldUsage x="-1"/>
        <fieldUsage x="1"/>
      </fieldsUsage>
    </cacheHierarchy>
    <cacheHierarchy uniqueName="[ماسيو].[سعر البيع]" caption="سعر البيع" attribute="1" defaultMemberUniqueName="[ماسيو].[سعر البيع].[All]" allUniqueName="[ماسيو].[سعر البيع].[All]" dimensionUniqueName="[ماسيو]" displayFolder="" count="0" memberValueDatatype="5" unbalanced="0"/>
    <cacheHierarchy uniqueName="[ماسيو].[طريقه الدفع]" caption="طريقه الدفع" attribute="1" defaultMemberUniqueName="[ماسيو].[طريقه الدفع].[All]" allUniqueName="[ماسيو].[طريقه الدفع].[All]" dimensionUniqueName="[ماسيو]" displayFolder="" count="0" memberValueDatatype="130" unbalanced="0"/>
    <cacheHierarchy uniqueName="[ماسيو].[نوع الدفع]" caption="نوع الدفع" attribute="1" defaultMemberUniqueName="[ماسيو].[نوع الدفع].[All]" allUniqueName="[ماسيو].[نوع الدفع].[All]" dimensionUniqueName="[ماسيو]" displayFolder="" count="0" memberValueDatatype="130" unbalanced="0"/>
    <cacheHierarchy uniqueName="[ماسيو].[ميعاد الطلب]" caption="ميعاد الطلب" attribute="1" time="1" defaultMemberUniqueName="[ماسيو].[ميعاد الطلب].[All]" allUniqueName="[ماسيو].[ميعاد الطلب].[All]" dimensionUniqueName="[ماسيو]" displayFolder="" count="0" memberValueDatatype="7" unbalanced="0"/>
    <cacheHierarchy uniqueName="[ماسيو].[ميعاد التسليم]" caption="ميعاد التسليم" attribute="1" time="1" defaultMemberUniqueName="[ماسيو].[ميعاد التسليم].[All]" allUniqueName="[ماسيو].[ميعاد التسليم].[All]" dimensionUniqueName="[ماسيو]" displayFolder="" count="0" memberValueDatatype="7" unbalanced="0"/>
    <cacheHierarchy uniqueName="[ماسيو].[تاريخ التسليم]" caption="تاريخ التسليم" attribute="1" time="1" defaultMemberUniqueName="[ماسيو].[تاريخ التسليم].[All]" allUniqueName="[ماسيو].[تاريخ التسليم].[All]" dimensionUniqueName="[ماسيو]" displayFolder="" count="0" memberValueDatatype="7" unbalanced="0"/>
    <cacheHierarchy uniqueName="[ماسيو].[المسئول عن التسليم]" caption="المسئول عن التسليم" attribute="1" defaultMemberUniqueName="[ماسيو].[المسئول عن التسليم].[All]" allUniqueName="[ماسيو].[المسئول عن التسليم].[All]" dimensionUniqueName="[ماسيو]" displayFolder="" count="0" memberValueDatatype="130" unbalanced="0"/>
    <cacheHierarchy uniqueName="[ماسيو].[الحالة]" caption="الحالة" attribute="1" defaultMemberUniqueName="[ماسيو].[الحالة].[All]" allUniqueName="[ماسيو].[الحالة].[All]" dimensionUniqueName="[ماسيو]" displayFolder="" count="2" memberValueDatatype="130" unbalanced="0">
      <fieldsUsage count="2">
        <fieldUsage x="-1"/>
        <fieldUsage x="0"/>
      </fieldsUsage>
    </cacheHierarchy>
    <cacheHierarchy uniqueName="[ماسيو].[مده التسليم (الهدف)]" caption="مده التسليم (الهدف)" attribute="1" defaultMemberUniqueName="[ماسيو].[مده التسليم (الهدف)].[All]" allUniqueName="[ماسيو].[مده التسليم (الهدف)].[All]" dimensionUniqueName="[ماسيو]" displayFolder="" count="0" memberValueDatatype="20" unbalanced="0"/>
    <cacheHierarchy uniqueName="[ماسيو].[مده التسليم (الفعلي)]" caption="مده التسليم (الفعلي)" attribute="1" defaultMemberUniqueName="[ماسيو].[مده التسليم (الفعلي)].[All]" allUniqueName="[ماسيو].[مده التسليم (الفعلي)].[All]" dimensionUniqueName="[ماسيو]" displayFolder="" count="0" memberValueDatatype="20" unbalanced="0"/>
    <cacheHierarchy uniqueName="[ماسيو].[حاله التوصيل]" caption="حاله التوصيل" attribute="1" defaultMemberUniqueName="[ماسيو].[حاله التوصيل].[All]" allUniqueName="[ماسيو].[حاله التوصيل].[All]" dimensionUniqueName="[ماسيو]" displayFolder="" count="0" memberValueDatatype="130" unbalanced="0"/>
    <cacheHierarchy uniqueName="[Measures].[total_orders]" caption="total_orders" measure="1" displayFolder="" measureGroup="ماسيو" count="0"/>
    <cacheHierarchy uniqueName="[Measures].[count_persons and companies]" caption="count_persons and companies" measure="1" displayFolder="" measureGroup="ماسيو" count="0"/>
    <cacheHierarchy uniqueName="[Measures].[__XL_Count ماسيو]" caption="__XL_Count ماسيو" measure="1" displayFolder="" measureGroup="ماسيو" count="0" hidden="1"/>
    <cacheHierarchy uniqueName="[Measures].[__No measures defined]" caption="__No measures defined" measure="1" displayFolder="" count="0" hidden="1"/>
    <cacheHierarchy uniqueName="[Measures].[Sum of سعر البيع]" caption="Sum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Average of سعر البيع]" caption="Average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Count of المنتج]" caption="Count of المنتج" measure="1" displayFolder="" measureGroup="ماسيو" count="0" hidden="1">
      <extLst>
        <ext xmlns:x15="http://schemas.microsoft.com/office/spreadsheetml/2010/11/main" uri="{B97F6D7D-B522-45F9-BDA1-12C45D357490}">
          <x15:cacheHierarchy aggregatedColumn="11"/>
        </ext>
      </extLst>
    </cacheHierarchy>
    <cacheHierarchy uniqueName="[Measures].[Count of لون المنتج]" caption="Count of لون المنتج" measure="1" displayFolder="" measureGroup="ماسيو"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حاله التوصيل]" caption="Count of حاله التوصيل" measure="1" displayFolder="" measureGroup="ماسيو" count="0" hidden="1">
      <extLst>
        <ext xmlns:x15="http://schemas.microsoft.com/office/spreadsheetml/2010/11/main" uri="{B97F6D7D-B522-45F9-BDA1-12C45D357490}">
          <x15:cacheHierarchy aggregatedColumn="22"/>
        </ext>
      </extLst>
    </cacheHierarchy>
    <cacheHierarchy uniqueName="[Measures].[Count of المحافظه]" caption="Count of المحافظه" measure="1" displayFolder="" measureGroup="ماسيو" count="0" hidden="1">
      <extLst>
        <ext xmlns:x15="http://schemas.microsoft.com/office/spreadsheetml/2010/11/main" uri="{B97F6D7D-B522-45F9-BDA1-12C45D357490}">
          <x15:cacheHierarchy aggregatedColumn="3"/>
        </ext>
      </extLst>
    </cacheHierarchy>
    <cacheHierarchy uniqueName="[Measures].[Count of أسم العميل]" caption="Count of أسم العميل" measure="1" displayFolder="" measureGroup="ماسيو" count="0" hidden="1">
      <extLst>
        <ext xmlns:x15="http://schemas.microsoft.com/office/spreadsheetml/2010/11/main" uri="{B97F6D7D-B522-45F9-BDA1-12C45D357490}">
          <x15:cacheHierarchy aggregatedColumn="0"/>
        </ext>
      </extLst>
    </cacheHierarchy>
    <cacheHierarchy uniqueName="[Measures].[Count of نوع العميل]" caption="Count of نوع العميل" measure="1" displayFolder="" measureGroup="ماسيو" count="0" hidden="1">
      <extLst>
        <ext xmlns:x15="http://schemas.microsoft.com/office/spreadsheetml/2010/11/main" uri="{B97F6D7D-B522-45F9-BDA1-12C45D357490}">
          <x15:cacheHierarchy aggregatedColumn="1"/>
        </ext>
      </extLst>
    </cacheHierarchy>
    <cacheHierarchy uniqueName="[Measures].[Count of الصنف]" caption="Count of الصنف" measure="1" displayFolder="" measureGroup="ماسيو"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ماسيو" uniqueName="[ماسيو]" caption="ماسيو"/>
  </dimensions>
  <measureGroups count="1">
    <measureGroup name="ماسيو" caption="ماسيو"/>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i Ashraf" refreshedDate="46141.16615474537" createdVersion="5" refreshedVersion="8" minRefreshableVersion="3" recordCount="0" supportSubquery="1" supportAdvancedDrill="1" xr:uid="{5AAA66AD-2585-44AE-AA97-5538C2EC6E36}">
  <cacheSource type="external" connectionId="2"/>
  <cacheFields count="5">
    <cacheField name="[ماسيو].[الحالة].[الحالة]" caption="الحالة" numFmtId="0" hierarchy="19" level="1">
      <sharedItems containsSemiMixedTypes="0" containsNonDate="0" containsString="0"/>
    </cacheField>
    <cacheField name="[ماسيو].[المنتج].[المنتج]" caption="المنتج" numFmtId="0" hierarchy="11" level="1">
      <sharedItems count="1">
        <s v="غير معروف"/>
      </sharedItems>
    </cacheField>
    <cacheField name="[Measures].[Count of الصنف]" caption="Count of الصنف" numFmtId="0" hierarchy="35" level="32767"/>
    <cacheField name="[ماسيو].[الصنف].[الصنف]" caption="الصنف" numFmtId="0" hierarchy="5" level="1">
      <sharedItems count="1">
        <s v="سرير"/>
      </sharedItems>
    </cacheField>
    <cacheField name="[ماسيو].[منصة البيع].[منصة البيع]" caption="منصة البيع" numFmtId="0" hierarchy="4" level="1">
      <sharedItems containsSemiMixedTypes="0" containsNonDate="0" containsString="0"/>
    </cacheField>
  </cacheFields>
  <cacheHierarchies count="36">
    <cacheHierarchy uniqueName="[ماسيو].[أسم العميل]" caption="أسم العميل" attribute="1" defaultMemberUniqueName="[ماسيو].[أسم العميل].[All]" allUniqueName="[ماسيو].[أسم العميل].[All]" dimensionUniqueName="[ماسيو]" displayFolder="" count="0" memberValueDatatype="130" unbalanced="0"/>
    <cacheHierarchy uniqueName="[ماسيو].[نوع العميل]" caption="نوع العميل" attribute="1" defaultMemberUniqueName="[ماسيو].[نوع العميل].[All]" allUniqueName="[ماسيو].[نوع العميل].[All]" dimensionUniqueName="[ماسيو]" displayFolder="" count="0" memberValueDatatype="130" unbalanced="0"/>
    <cacheHierarchy uniqueName="[ماسيو].[العنوان]" caption="العنوان" attribute="1" defaultMemberUniqueName="[ماسيو].[العنوان].[All]" allUniqueName="[ماسيو].[العنوان].[All]" dimensionUniqueName="[ماسيو]" displayFolder="" count="0" memberValueDatatype="130" unbalanced="0"/>
    <cacheHierarchy uniqueName="[ماسيو].[المحافظه]" caption="المحافظه" attribute="1" defaultMemberUniqueName="[ماسيو].[المحافظه].[All]" allUniqueName="[ماسيو].[المحافظه].[All]" dimensionUniqueName="[ماسيو]" displayFolder="" count="2" memberValueDatatype="130" unbalanced="0"/>
    <cacheHierarchy uniqueName="[ماسيو].[منصة البيع]" caption="منصة البيع" attribute="1" defaultMemberUniqueName="[ماسيو].[منصة البيع].[All]" allUniqueName="[ماسيو].[منصة البيع].[All]" dimensionUniqueName="[ماسيو]" displayFolder="" count="2" memberValueDatatype="130" unbalanced="0">
      <fieldsUsage count="2">
        <fieldUsage x="-1"/>
        <fieldUsage x="4"/>
      </fieldsUsage>
    </cacheHierarchy>
    <cacheHierarchy uniqueName="[ماسيو].[الصنف]" caption="الصنف" attribute="1" defaultMemberUniqueName="[ماسيو].[الصنف].[All]" allUniqueName="[ماسيو].[الصنف].[All]" dimensionUniqueName="[ماسيو]" displayFolder="" count="2" memberValueDatatype="130" unbalanced="0">
      <fieldsUsage count="2">
        <fieldUsage x="-1"/>
        <fieldUsage x="3"/>
      </fieldsUsage>
    </cacheHierarchy>
    <cacheHierarchy uniqueName="[ماسيو].[النوع]" caption="النوع" attribute="1" defaultMemberUniqueName="[ماسيو].[النوع].[All]" allUniqueName="[ماسيو].[النوع].[All]" dimensionUniqueName="[ماسيو]" displayFolder="" count="0" memberValueDatatype="130" unbalanced="0"/>
    <cacheHierarchy uniqueName="[ماسيو].[الاسم]" caption="الاسم" attribute="1" defaultMemberUniqueName="[ماسيو].[الاسم].[All]" allUniqueName="[ماسيو].[الاسم].[All]" dimensionUniqueName="[ماسيو]" displayFolder="" count="0" memberValueDatatype="130" unbalanced="0"/>
    <cacheHierarchy uniqueName="[ماسيو].[المقاس]" caption="المقاس" attribute="1" defaultMemberUniqueName="[ماسيو].[المقاس].[All]" allUniqueName="[ماسيو].[المقاس].[All]" dimensionUniqueName="[ماسيو]" displayFolder="" count="0" memberValueDatatype="130" unbalanced="0"/>
    <cacheHierarchy uniqueName="[ماسيو].[لون المنتج]" caption="لون المنتج" attribute="1" defaultMemberUniqueName="[ماسيو].[لون المنتج].[All]" allUniqueName="[ماسيو].[لون المنتج].[All]" dimensionUniqueName="[ماسيو]" displayFolder="" count="2" memberValueDatatype="130" unbalanced="0"/>
    <cacheHierarchy uniqueName="[ماسيو].[لون القماش]" caption="لون القماش" attribute="1" defaultMemberUniqueName="[ماسيو].[لون القماش].[All]" allUniqueName="[ماسيو].[لون القماش].[All]" dimensionUniqueName="[ماسيو]" displayFolder="" count="0" memberValueDatatype="130" unbalanced="0"/>
    <cacheHierarchy uniqueName="[ماسيو].[المنتج]" caption="المنتج" attribute="1" defaultMemberUniqueName="[ماسيو].[المنتج].[All]" allUniqueName="[ماسيو].[المنتج].[All]" dimensionUniqueName="[ماسيو]" displayFolder="" count="2" memberValueDatatype="130" unbalanced="0">
      <fieldsUsage count="2">
        <fieldUsage x="-1"/>
        <fieldUsage x="1"/>
      </fieldsUsage>
    </cacheHierarchy>
    <cacheHierarchy uniqueName="[ماسيو].[سعر البيع]" caption="سعر البيع" attribute="1" defaultMemberUniqueName="[ماسيو].[سعر البيع].[All]" allUniqueName="[ماسيو].[سعر البيع].[All]" dimensionUniqueName="[ماسيو]" displayFolder="" count="0" memberValueDatatype="5" unbalanced="0"/>
    <cacheHierarchy uniqueName="[ماسيو].[طريقه الدفع]" caption="طريقه الدفع" attribute="1" defaultMemberUniqueName="[ماسيو].[طريقه الدفع].[All]" allUniqueName="[ماسيو].[طريقه الدفع].[All]" dimensionUniqueName="[ماسيو]" displayFolder="" count="0" memberValueDatatype="130" unbalanced="0"/>
    <cacheHierarchy uniqueName="[ماسيو].[نوع الدفع]" caption="نوع الدفع" attribute="1" defaultMemberUniqueName="[ماسيو].[نوع الدفع].[All]" allUniqueName="[ماسيو].[نوع الدفع].[All]" dimensionUniqueName="[ماسيو]" displayFolder="" count="0" memberValueDatatype="130" unbalanced="0"/>
    <cacheHierarchy uniqueName="[ماسيو].[ميعاد الطلب]" caption="ميعاد الطلب" attribute="1" time="1" defaultMemberUniqueName="[ماسيو].[ميعاد الطلب].[All]" allUniqueName="[ماسيو].[ميعاد الطلب].[All]" dimensionUniqueName="[ماسيو]" displayFolder="" count="0" memberValueDatatype="7" unbalanced="0"/>
    <cacheHierarchy uniqueName="[ماسيو].[ميعاد التسليم]" caption="ميعاد التسليم" attribute="1" time="1" defaultMemberUniqueName="[ماسيو].[ميعاد التسليم].[All]" allUniqueName="[ماسيو].[ميعاد التسليم].[All]" dimensionUniqueName="[ماسيو]" displayFolder="" count="0" memberValueDatatype="7" unbalanced="0"/>
    <cacheHierarchy uniqueName="[ماسيو].[تاريخ التسليم]" caption="تاريخ التسليم" attribute="1" time="1" defaultMemberUniqueName="[ماسيو].[تاريخ التسليم].[All]" allUniqueName="[ماسيو].[تاريخ التسليم].[All]" dimensionUniqueName="[ماسيو]" displayFolder="" count="0" memberValueDatatype="7" unbalanced="0"/>
    <cacheHierarchy uniqueName="[ماسيو].[المسئول عن التسليم]" caption="المسئول عن التسليم" attribute="1" defaultMemberUniqueName="[ماسيو].[المسئول عن التسليم].[All]" allUniqueName="[ماسيو].[المسئول عن التسليم].[All]" dimensionUniqueName="[ماسيو]" displayFolder="" count="0" memberValueDatatype="130" unbalanced="0"/>
    <cacheHierarchy uniqueName="[ماسيو].[الحالة]" caption="الحالة" attribute="1" defaultMemberUniqueName="[ماسيو].[الحالة].[All]" allUniqueName="[ماسيو].[الحالة].[All]" dimensionUniqueName="[ماسيو]" displayFolder="" count="2" memberValueDatatype="130" unbalanced="0">
      <fieldsUsage count="2">
        <fieldUsage x="-1"/>
        <fieldUsage x="0"/>
      </fieldsUsage>
    </cacheHierarchy>
    <cacheHierarchy uniqueName="[ماسيو].[مده التسليم (الهدف)]" caption="مده التسليم (الهدف)" attribute="1" defaultMemberUniqueName="[ماسيو].[مده التسليم (الهدف)].[All]" allUniqueName="[ماسيو].[مده التسليم (الهدف)].[All]" dimensionUniqueName="[ماسيو]" displayFolder="" count="0" memberValueDatatype="20" unbalanced="0"/>
    <cacheHierarchy uniqueName="[ماسيو].[مده التسليم (الفعلي)]" caption="مده التسليم (الفعلي)" attribute="1" defaultMemberUniqueName="[ماسيو].[مده التسليم (الفعلي)].[All]" allUniqueName="[ماسيو].[مده التسليم (الفعلي)].[All]" dimensionUniqueName="[ماسيو]" displayFolder="" count="0" memberValueDatatype="20" unbalanced="0"/>
    <cacheHierarchy uniqueName="[ماسيو].[حاله التوصيل]" caption="حاله التوصيل" attribute="1" defaultMemberUniqueName="[ماسيو].[حاله التوصيل].[All]" allUniqueName="[ماسيو].[حاله التوصيل].[All]" dimensionUniqueName="[ماسيو]" displayFolder="" count="0" memberValueDatatype="130" unbalanced="0"/>
    <cacheHierarchy uniqueName="[Measures].[total_orders]" caption="total_orders" measure="1" displayFolder="" measureGroup="ماسيو" count="0"/>
    <cacheHierarchy uniqueName="[Measures].[count_persons and companies]" caption="count_persons and companies" measure="1" displayFolder="" measureGroup="ماسيو" count="0"/>
    <cacheHierarchy uniqueName="[Measures].[__XL_Count ماسيو]" caption="__XL_Count ماسيو" measure="1" displayFolder="" measureGroup="ماسيو" count="0" hidden="1"/>
    <cacheHierarchy uniqueName="[Measures].[__No measures defined]" caption="__No measures defined" measure="1" displayFolder="" count="0" hidden="1"/>
    <cacheHierarchy uniqueName="[Measures].[Sum of سعر البيع]" caption="Sum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Average of سعر البيع]" caption="Average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Count of المنتج]" caption="Count of المنتج" measure="1" displayFolder="" measureGroup="ماسيو" count="0" hidden="1">
      <extLst>
        <ext xmlns:x15="http://schemas.microsoft.com/office/spreadsheetml/2010/11/main" uri="{B97F6D7D-B522-45F9-BDA1-12C45D357490}">
          <x15:cacheHierarchy aggregatedColumn="11"/>
        </ext>
      </extLst>
    </cacheHierarchy>
    <cacheHierarchy uniqueName="[Measures].[Count of لون المنتج]" caption="Count of لون المنتج" measure="1" displayFolder="" measureGroup="ماسيو" count="0" hidden="1">
      <extLst>
        <ext xmlns:x15="http://schemas.microsoft.com/office/spreadsheetml/2010/11/main" uri="{B97F6D7D-B522-45F9-BDA1-12C45D357490}">
          <x15:cacheHierarchy aggregatedColumn="9"/>
        </ext>
      </extLst>
    </cacheHierarchy>
    <cacheHierarchy uniqueName="[Measures].[Count of حاله التوصيل]" caption="Count of حاله التوصيل" measure="1" displayFolder="" measureGroup="ماسيو" count="0" hidden="1">
      <extLst>
        <ext xmlns:x15="http://schemas.microsoft.com/office/spreadsheetml/2010/11/main" uri="{B97F6D7D-B522-45F9-BDA1-12C45D357490}">
          <x15:cacheHierarchy aggregatedColumn="22"/>
        </ext>
      </extLst>
    </cacheHierarchy>
    <cacheHierarchy uniqueName="[Measures].[Count of المحافظه]" caption="Count of المحافظه" measure="1" displayFolder="" measureGroup="ماسيو" count="0" hidden="1">
      <extLst>
        <ext xmlns:x15="http://schemas.microsoft.com/office/spreadsheetml/2010/11/main" uri="{B97F6D7D-B522-45F9-BDA1-12C45D357490}">
          <x15:cacheHierarchy aggregatedColumn="3"/>
        </ext>
      </extLst>
    </cacheHierarchy>
    <cacheHierarchy uniqueName="[Measures].[Count of أسم العميل]" caption="Count of أسم العميل" measure="1" displayFolder="" measureGroup="ماسيو" count="0" hidden="1">
      <extLst>
        <ext xmlns:x15="http://schemas.microsoft.com/office/spreadsheetml/2010/11/main" uri="{B97F6D7D-B522-45F9-BDA1-12C45D357490}">
          <x15:cacheHierarchy aggregatedColumn="0"/>
        </ext>
      </extLst>
    </cacheHierarchy>
    <cacheHierarchy uniqueName="[Measures].[Count of نوع العميل]" caption="Count of نوع العميل" measure="1" displayFolder="" measureGroup="ماسيو" count="0" hidden="1">
      <extLst>
        <ext xmlns:x15="http://schemas.microsoft.com/office/spreadsheetml/2010/11/main" uri="{B97F6D7D-B522-45F9-BDA1-12C45D357490}">
          <x15:cacheHierarchy aggregatedColumn="1"/>
        </ext>
      </extLst>
    </cacheHierarchy>
    <cacheHierarchy uniqueName="[Measures].[Count of الصنف]" caption="Count of الصنف" measure="1" displayFolder="" measureGroup="ماسيو" count="0" oneField="1" hidden="1">
      <fieldsUsage count="1">
        <fieldUsage x="2"/>
      </fieldsUsage>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ماسيو" uniqueName="[ماسيو]" caption="ماسيو"/>
  </dimensions>
  <measureGroups count="1">
    <measureGroup name="ماسيو" caption="ماسيو"/>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i Ashraf" refreshedDate="46141.166155324077" createdVersion="5" refreshedVersion="8" minRefreshableVersion="3" recordCount="0" supportSubquery="1" supportAdvancedDrill="1" xr:uid="{7A8BAF29-5032-4FF8-B212-FA208D1FD370}">
  <cacheSource type="external" connectionId="2"/>
  <cacheFields count="3">
    <cacheField name="[ماسيو].[الحالة].[الحالة]" caption="الحالة" numFmtId="0" hierarchy="19" level="1">
      <sharedItems containsSemiMixedTypes="0" containsNonDate="0" containsString="0"/>
    </cacheField>
    <cacheField name="[Measures].[Average of سعر البيع]" caption="Average of سعر البيع" numFmtId="0" hierarchy="28" level="32767"/>
    <cacheField name="[ماسيو].[منصة البيع].[منصة البيع]" caption="منصة البيع" numFmtId="0" hierarchy="4" level="1">
      <sharedItems containsSemiMixedTypes="0" containsNonDate="0" containsString="0"/>
    </cacheField>
  </cacheFields>
  <cacheHierarchies count="36">
    <cacheHierarchy uniqueName="[ماسيو].[أسم العميل]" caption="أسم العميل" attribute="1" defaultMemberUniqueName="[ماسيو].[أسم العميل].[All]" allUniqueName="[ماسيو].[أسم العميل].[All]" dimensionUniqueName="[ماسيو]" displayFolder="" count="0" memberValueDatatype="130" unbalanced="0"/>
    <cacheHierarchy uniqueName="[ماسيو].[نوع العميل]" caption="نوع العميل" attribute="1" defaultMemberUniqueName="[ماسيو].[نوع العميل].[All]" allUniqueName="[ماسيو].[نوع العميل].[All]" dimensionUniqueName="[ماسيو]" displayFolder="" count="0" memberValueDatatype="130" unbalanced="0"/>
    <cacheHierarchy uniqueName="[ماسيو].[العنوان]" caption="العنوان" attribute="1" defaultMemberUniqueName="[ماسيو].[العنوان].[All]" allUniqueName="[ماسيو].[العنوان].[All]" dimensionUniqueName="[ماسيو]" displayFolder="" count="0" memberValueDatatype="130" unbalanced="0"/>
    <cacheHierarchy uniqueName="[ماسيو].[المحافظه]" caption="المحافظه" attribute="1" defaultMemberUniqueName="[ماسيو].[المحافظه].[All]" allUniqueName="[ماسيو].[المحافظه].[All]" dimensionUniqueName="[ماسيو]" displayFolder="" count="2" memberValueDatatype="130" unbalanced="0"/>
    <cacheHierarchy uniqueName="[ماسيو].[منصة البيع]" caption="منصة البيع" attribute="1" defaultMemberUniqueName="[ماسيو].[منصة البيع].[All]" allUniqueName="[ماسيو].[منصة البيع].[All]" dimensionUniqueName="[ماسيو]" displayFolder="" count="2" memberValueDatatype="130" unbalanced="0">
      <fieldsUsage count="2">
        <fieldUsage x="-1"/>
        <fieldUsage x="2"/>
      </fieldsUsage>
    </cacheHierarchy>
    <cacheHierarchy uniqueName="[ماسيو].[الصنف]" caption="الصنف" attribute="1" defaultMemberUniqueName="[ماسيو].[الصنف].[All]" allUniqueName="[ماسيو].[الصنف].[All]" dimensionUniqueName="[ماسيو]" displayFolder="" count="0" memberValueDatatype="130" unbalanced="0"/>
    <cacheHierarchy uniqueName="[ماسيو].[النوع]" caption="النوع" attribute="1" defaultMemberUniqueName="[ماسيو].[النوع].[All]" allUniqueName="[ماسيو].[النوع].[All]" dimensionUniqueName="[ماسيو]" displayFolder="" count="0" memberValueDatatype="130" unbalanced="0"/>
    <cacheHierarchy uniqueName="[ماسيو].[الاسم]" caption="الاسم" attribute="1" defaultMemberUniqueName="[ماسيو].[الاسم].[All]" allUniqueName="[ماسيو].[الاسم].[All]" dimensionUniqueName="[ماسيو]" displayFolder="" count="0" memberValueDatatype="130" unbalanced="0"/>
    <cacheHierarchy uniqueName="[ماسيو].[المقاس]" caption="المقاس" attribute="1" defaultMemberUniqueName="[ماسيو].[المقاس].[All]" allUniqueName="[ماسيو].[المقاس].[All]" dimensionUniqueName="[ماسيو]" displayFolder="" count="0" memberValueDatatype="130" unbalanced="0"/>
    <cacheHierarchy uniqueName="[ماسيو].[لون المنتج]" caption="لون المنتج" attribute="1" defaultMemberUniqueName="[ماسيو].[لون المنتج].[All]" allUniqueName="[ماسيو].[لون المنتج].[All]" dimensionUniqueName="[ماسيو]" displayFolder="" count="2" memberValueDatatype="130" unbalanced="0"/>
    <cacheHierarchy uniqueName="[ماسيو].[لون القماش]" caption="لون القماش" attribute="1" defaultMemberUniqueName="[ماسيو].[لون القماش].[All]" allUniqueName="[ماسيو].[لون القماش].[All]" dimensionUniqueName="[ماسيو]" displayFolder="" count="0" memberValueDatatype="130" unbalanced="0"/>
    <cacheHierarchy uniqueName="[ماسيو].[المنتج]" caption="المنتج" attribute="1" defaultMemberUniqueName="[ماسيو].[المنتج].[All]" allUniqueName="[ماسيو].[المنتج].[All]" dimensionUniqueName="[ماسيو]" displayFolder="" count="0" memberValueDatatype="130" unbalanced="0"/>
    <cacheHierarchy uniqueName="[ماسيو].[سعر البيع]" caption="سعر البيع" attribute="1" defaultMemberUniqueName="[ماسيو].[سعر البيع].[All]" allUniqueName="[ماسيو].[سعر البيع].[All]" dimensionUniqueName="[ماسيو]" displayFolder="" count="0" memberValueDatatype="5" unbalanced="0"/>
    <cacheHierarchy uniqueName="[ماسيو].[طريقه الدفع]" caption="طريقه الدفع" attribute="1" defaultMemberUniqueName="[ماسيو].[طريقه الدفع].[All]" allUniqueName="[ماسيو].[طريقه الدفع].[All]" dimensionUniqueName="[ماسيو]" displayFolder="" count="0" memberValueDatatype="130" unbalanced="0"/>
    <cacheHierarchy uniqueName="[ماسيو].[نوع الدفع]" caption="نوع الدفع" attribute="1" defaultMemberUniqueName="[ماسيو].[نوع الدفع].[All]" allUniqueName="[ماسيو].[نوع الدفع].[All]" dimensionUniqueName="[ماسيو]" displayFolder="" count="0" memberValueDatatype="130" unbalanced="0"/>
    <cacheHierarchy uniqueName="[ماسيو].[ميعاد الطلب]" caption="ميعاد الطلب" attribute="1" time="1" defaultMemberUniqueName="[ماسيو].[ميعاد الطلب].[All]" allUniqueName="[ماسيو].[ميعاد الطلب].[All]" dimensionUniqueName="[ماسيو]" displayFolder="" count="0" memberValueDatatype="7" unbalanced="0"/>
    <cacheHierarchy uniqueName="[ماسيو].[ميعاد التسليم]" caption="ميعاد التسليم" attribute="1" time="1" defaultMemberUniqueName="[ماسيو].[ميعاد التسليم].[All]" allUniqueName="[ماسيو].[ميعاد التسليم].[All]" dimensionUniqueName="[ماسيو]" displayFolder="" count="0" memberValueDatatype="7" unbalanced="0"/>
    <cacheHierarchy uniqueName="[ماسيو].[تاريخ التسليم]" caption="تاريخ التسليم" attribute="1" time="1" defaultMemberUniqueName="[ماسيو].[تاريخ التسليم].[All]" allUniqueName="[ماسيو].[تاريخ التسليم].[All]" dimensionUniqueName="[ماسيو]" displayFolder="" count="0" memberValueDatatype="7" unbalanced="0"/>
    <cacheHierarchy uniqueName="[ماسيو].[المسئول عن التسليم]" caption="المسئول عن التسليم" attribute="1" defaultMemberUniqueName="[ماسيو].[المسئول عن التسليم].[All]" allUniqueName="[ماسيو].[المسئول عن التسليم].[All]" dimensionUniqueName="[ماسيو]" displayFolder="" count="0" memberValueDatatype="130" unbalanced="0"/>
    <cacheHierarchy uniqueName="[ماسيو].[الحالة]" caption="الحالة" attribute="1" defaultMemberUniqueName="[ماسيو].[الحالة].[All]" allUniqueName="[ماسيو].[الحالة].[All]" dimensionUniqueName="[ماسيو]" displayFolder="" count="2" memberValueDatatype="130" unbalanced="0">
      <fieldsUsage count="2">
        <fieldUsage x="-1"/>
        <fieldUsage x="0"/>
      </fieldsUsage>
    </cacheHierarchy>
    <cacheHierarchy uniqueName="[ماسيو].[مده التسليم (الهدف)]" caption="مده التسليم (الهدف)" attribute="1" defaultMemberUniqueName="[ماسيو].[مده التسليم (الهدف)].[All]" allUniqueName="[ماسيو].[مده التسليم (الهدف)].[All]" dimensionUniqueName="[ماسيو]" displayFolder="" count="0" memberValueDatatype="20" unbalanced="0"/>
    <cacheHierarchy uniqueName="[ماسيو].[مده التسليم (الفعلي)]" caption="مده التسليم (الفعلي)" attribute="1" defaultMemberUniqueName="[ماسيو].[مده التسليم (الفعلي)].[All]" allUniqueName="[ماسيو].[مده التسليم (الفعلي)].[All]" dimensionUniqueName="[ماسيو]" displayFolder="" count="0" memberValueDatatype="20" unbalanced="0"/>
    <cacheHierarchy uniqueName="[ماسيو].[حاله التوصيل]" caption="حاله التوصيل" attribute="1" defaultMemberUniqueName="[ماسيو].[حاله التوصيل].[All]" allUniqueName="[ماسيو].[حاله التوصيل].[All]" dimensionUniqueName="[ماسيو]" displayFolder="" count="0" memberValueDatatype="130" unbalanced="0"/>
    <cacheHierarchy uniqueName="[Measures].[total_orders]" caption="total_orders" measure="1" displayFolder="" measureGroup="ماسيو" count="0"/>
    <cacheHierarchy uniqueName="[Measures].[count_persons and companies]" caption="count_persons and companies" measure="1" displayFolder="" measureGroup="ماسيو" count="0"/>
    <cacheHierarchy uniqueName="[Measures].[__XL_Count ماسيو]" caption="__XL_Count ماسيو" measure="1" displayFolder="" measureGroup="ماسيو" count="0" hidden="1"/>
    <cacheHierarchy uniqueName="[Measures].[__No measures defined]" caption="__No measures defined" measure="1" displayFolder="" count="0" hidden="1"/>
    <cacheHierarchy uniqueName="[Measures].[Sum of سعر البيع]" caption="Sum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Average of سعر البيع]" caption="Average of سعر البيع" measure="1" displayFolder="" measureGroup="ماسيو" count="0" oneField="1" hidden="1">
      <fieldsUsage count="1">
        <fieldUsage x="1"/>
      </fieldsUsage>
      <extLst>
        <ext xmlns:x15="http://schemas.microsoft.com/office/spreadsheetml/2010/11/main" uri="{B97F6D7D-B522-45F9-BDA1-12C45D357490}">
          <x15:cacheHierarchy aggregatedColumn="12"/>
        </ext>
      </extLst>
    </cacheHierarchy>
    <cacheHierarchy uniqueName="[Measures].[Count of المنتج]" caption="Count of المنتج" measure="1" displayFolder="" measureGroup="ماسيو" count="0" hidden="1">
      <extLst>
        <ext xmlns:x15="http://schemas.microsoft.com/office/spreadsheetml/2010/11/main" uri="{B97F6D7D-B522-45F9-BDA1-12C45D357490}">
          <x15:cacheHierarchy aggregatedColumn="11"/>
        </ext>
      </extLst>
    </cacheHierarchy>
    <cacheHierarchy uniqueName="[Measures].[Count of لون المنتج]" caption="Count of لون المنتج" measure="1" displayFolder="" measureGroup="ماسيو" count="0" hidden="1">
      <extLst>
        <ext xmlns:x15="http://schemas.microsoft.com/office/spreadsheetml/2010/11/main" uri="{B97F6D7D-B522-45F9-BDA1-12C45D357490}">
          <x15:cacheHierarchy aggregatedColumn="9"/>
        </ext>
      </extLst>
    </cacheHierarchy>
    <cacheHierarchy uniqueName="[Measures].[Count of حاله التوصيل]" caption="Count of حاله التوصيل" measure="1" displayFolder="" measureGroup="ماسيو" count="0" hidden="1">
      <extLst>
        <ext xmlns:x15="http://schemas.microsoft.com/office/spreadsheetml/2010/11/main" uri="{B97F6D7D-B522-45F9-BDA1-12C45D357490}">
          <x15:cacheHierarchy aggregatedColumn="22"/>
        </ext>
      </extLst>
    </cacheHierarchy>
    <cacheHierarchy uniqueName="[Measures].[Count of المحافظه]" caption="Count of المحافظه" measure="1" displayFolder="" measureGroup="ماسيو" count="0" hidden="1">
      <extLst>
        <ext xmlns:x15="http://schemas.microsoft.com/office/spreadsheetml/2010/11/main" uri="{B97F6D7D-B522-45F9-BDA1-12C45D357490}">
          <x15:cacheHierarchy aggregatedColumn="3"/>
        </ext>
      </extLst>
    </cacheHierarchy>
    <cacheHierarchy uniqueName="[Measures].[Count of أسم العميل]" caption="Count of أسم العميل" measure="1" displayFolder="" measureGroup="ماسيو" count="0" hidden="1">
      <extLst>
        <ext xmlns:x15="http://schemas.microsoft.com/office/spreadsheetml/2010/11/main" uri="{B97F6D7D-B522-45F9-BDA1-12C45D357490}">
          <x15:cacheHierarchy aggregatedColumn="0"/>
        </ext>
      </extLst>
    </cacheHierarchy>
    <cacheHierarchy uniqueName="[Measures].[Count of نوع العميل]" caption="Count of نوع العميل" measure="1" displayFolder="" measureGroup="ماسيو" count="0" hidden="1">
      <extLst>
        <ext xmlns:x15="http://schemas.microsoft.com/office/spreadsheetml/2010/11/main" uri="{B97F6D7D-B522-45F9-BDA1-12C45D357490}">
          <x15:cacheHierarchy aggregatedColumn="1"/>
        </ext>
      </extLst>
    </cacheHierarchy>
    <cacheHierarchy uniqueName="[Measures].[Count of الصنف]" caption="Count of الصنف" measure="1" displayFolder="" measureGroup="ماسيو"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ماسيو" uniqueName="[ماسيو]" caption="ماسيو"/>
  </dimensions>
  <measureGroups count="1">
    <measureGroup name="ماسيو" caption="ماسيو"/>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i Ashraf" refreshedDate="46141.166155671293" createdVersion="5" refreshedVersion="8" minRefreshableVersion="3" recordCount="0" supportSubquery="1" supportAdvancedDrill="1" xr:uid="{A8D79618-3CCD-4176-80C9-DA712E40F303}">
  <cacheSource type="external" connectionId="2"/>
  <cacheFields count="5">
    <cacheField name="[ماسيو].[الحالة].[الحالة]" caption="الحالة" numFmtId="0" hierarchy="19" level="1">
      <sharedItems containsSemiMixedTypes="0" containsNonDate="0" containsString="0"/>
    </cacheField>
    <cacheField name="[ماسيو].[المنتج].[المنتج]" caption="المنتج" numFmtId="0" hierarchy="11" level="1">
      <sharedItems count="1">
        <s v="غير معروف"/>
      </sharedItems>
    </cacheField>
    <cacheField name="[Measures].[Count of حاله التوصيل]" caption="Count of حاله التوصيل" numFmtId="0" hierarchy="31" level="32767"/>
    <cacheField name="[ماسيو].[حاله التوصيل].[حاله التوصيل]" caption="حاله التوصيل" numFmtId="0" hierarchy="22" level="1">
      <sharedItems count="2">
        <s v="في الموعد"/>
        <s v="متأخر"/>
      </sharedItems>
    </cacheField>
    <cacheField name="[ماسيو].[منصة البيع].[منصة البيع]" caption="منصة البيع" numFmtId="0" hierarchy="4" level="1">
      <sharedItems containsSemiMixedTypes="0" containsNonDate="0" containsString="0"/>
    </cacheField>
  </cacheFields>
  <cacheHierarchies count="36">
    <cacheHierarchy uniqueName="[ماسيو].[أسم العميل]" caption="أسم العميل" attribute="1" defaultMemberUniqueName="[ماسيو].[أسم العميل].[All]" allUniqueName="[ماسيو].[أسم العميل].[All]" dimensionUniqueName="[ماسيو]" displayFolder="" count="0" memberValueDatatype="130" unbalanced="0"/>
    <cacheHierarchy uniqueName="[ماسيو].[نوع العميل]" caption="نوع العميل" attribute="1" defaultMemberUniqueName="[ماسيو].[نوع العميل].[All]" allUniqueName="[ماسيو].[نوع العميل].[All]" dimensionUniqueName="[ماسيو]" displayFolder="" count="0" memberValueDatatype="130" unbalanced="0"/>
    <cacheHierarchy uniqueName="[ماسيو].[العنوان]" caption="العنوان" attribute="1" defaultMemberUniqueName="[ماسيو].[العنوان].[All]" allUniqueName="[ماسيو].[العنوان].[All]" dimensionUniqueName="[ماسيو]" displayFolder="" count="0" memberValueDatatype="130" unbalanced="0"/>
    <cacheHierarchy uniqueName="[ماسيو].[المحافظه]" caption="المحافظه" attribute="1" defaultMemberUniqueName="[ماسيو].[المحافظه].[All]" allUniqueName="[ماسيو].[المحافظه].[All]" dimensionUniqueName="[ماسيو]" displayFolder="" count="2" memberValueDatatype="130" unbalanced="0"/>
    <cacheHierarchy uniqueName="[ماسيو].[منصة البيع]" caption="منصة البيع" attribute="1" defaultMemberUniqueName="[ماسيو].[منصة البيع].[All]" allUniqueName="[ماسيو].[منصة البيع].[All]" dimensionUniqueName="[ماسيو]" displayFolder="" count="2" memberValueDatatype="130" unbalanced="0">
      <fieldsUsage count="2">
        <fieldUsage x="-1"/>
        <fieldUsage x="4"/>
      </fieldsUsage>
    </cacheHierarchy>
    <cacheHierarchy uniqueName="[ماسيو].[الصنف]" caption="الصنف" attribute="1" defaultMemberUniqueName="[ماسيو].[الصنف].[All]" allUniqueName="[ماسيو].[الصنف].[All]" dimensionUniqueName="[ماسيو]" displayFolder="" count="0" memberValueDatatype="130" unbalanced="0"/>
    <cacheHierarchy uniqueName="[ماسيو].[النوع]" caption="النوع" attribute="1" defaultMemberUniqueName="[ماسيو].[النوع].[All]" allUniqueName="[ماسيو].[النوع].[All]" dimensionUniqueName="[ماسيو]" displayFolder="" count="0" memberValueDatatype="130" unbalanced="0"/>
    <cacheHierarchy uniqueName="[ماسيو].[الاسم]" caption="الاسم" attribute="1" defaultMemberUniqueName="[ماسيو].[الاسم].[All]" allUniqueName="[ماسيو].[الاسم].[All]" dimensionUniqueName="[ماسيو]" displayFolder="" count="0" memberValueDatatype="130" unbalanced="0"/>
    <cacheHierarchy uniqueName="[ماسيو].[المقاس]" caption="المقاس" attribute="1" defaultMemberUniqueName="[ماسيو].[المقاس].[All]" allUniqueName="[ماسيو].[المقاس].[All]" dimensionUniqueName="[ماسيو]" displayFolder="" count="0" memberValueDatatype="130" unbalanced="0"/>
    <cacheHierarchy uniqueName="[ماسيو].[لون المنتج]" caption="لون المنتج" attribute="1" defaultMemberUniqueName="[ماسيو].[لون المنتج].[All]" allUniqueName="[ماسيو].[لون المنتج].[All]" dimensionUniqueName="[ماسيو]" displayFolder="" count="2" memberValueDatatype="130" unbalanced="0"/>
    <cacheHierarchy uniqueName="[ماسيو].[لون القماش]" caption="لون القماش" attribute="1" defaultMemberUniqueName="[ماسيو].[لون القماش].[All]" allUniqueName="[ماسيو].[لون القماش].[All]" dimensionUniqueName="[ماسيو]" displayFolder="" count="0" memberValueDatatype="130" unbalanced="0"/>
    <cacheHierarchy uniqueName="[ماسيو].[المنتج]" caption="المنتج" attribute="1" defaultMemberUniqueName="[ماسيو].[المنتج].[All]" allUniqueName="[ماسيو].[المنتج].[All]" dimensionUniqueName="[ماسيو]" displayFolder="" count="2" memberValueDatatype="130" unbalanced="0">
      <fieldsUsage count="2">
        <fieldUsage x="-1"/>
        <fieldUsage x="1"/>
      </fieldsUsage>
    </cacheHierarchy>
    <cacheHierarchy uniqueName="[ماسيو].[سعر البيع]" caption="سعر البيع" attribute="1" defaultMemberUniqueName="[ماسيو].[سعر البيع].[All]" allUniqueName="[ماسيو].[سعر البيع].[All]" dimensionUniqueName="[ماسيو]" displayFolder="" count="0" memberValueDatatype="5" unbalanced="0"/>
    <cacheHierarchy uniqueName="[ماسيو].[طريقه الدفع]" caption="طريقه الدفع" attribute="1" defaultMemberUniqueName="[ماسيو].[طريقه الدفع].[All]" allUniqueName="[ماسيو].[طريقه الدفع].[All]" dimensionUniqueName="[ماسيو]" displayFolder="" count="0" memberValueDatatype="130" unbalanced="0"/>
    <cacheHierarchy uniqueName="[ماسيو].[نوع الدفع]" caption="نوع الدفع" attribute="1" defaultMemberUniqueName="[ماسيو].[نوع الدفع].[All]" allUniqueName="[ماسيو].[نوع الدفع].[All]" dimensionUniqueName="[ماسيو]" displayFolder="" count="0" memberValueDatatype="130" unbalanced="0"/>
    <cacheHierarchy uniqueName="[ماسيو].[ميعاد الطلب]" caption="ميعاد الطلب" attribute="1" time="1" defaultMemberUniqueName="[ماسيو].[ميعاد الطلب].[All]" allUniqueName="[ماسيو].[ميعاد الطلب].[All]" dimensionUniqueName="[ماسيو]" displayFolder="" count="0" memberValueDatatype="7" unbalanced="0"/>
    <cacheHierarchy uniqueName="[ماسيو].[ميعاد التسليم]" caption="ميعاد التسليم" attribute="1" time="1" defaultMemberUniqueName="[ماسيو].[ميعاد التسليم].[All]" allUniqueName="[ماسيو].[ميعاد التسليم].[All]" dimensionUniqueName="[ماسيو]" displayFolder="" count="0" memberValueDatatype="7" unbalanced="0"/>
    <cacheHierarchy uniqueName="[ماسيو].[تاريخ التسليم]" caption="تاريخ التسليم" attribute="1" time="1" defaultMemberUniqueName="[ماسيو].[تاريخ التسليم].[All]" allUniqueName="[ماسيو].[تاريخ التسليم].[All]" dimensionUniqueName="[ماسيو]" displayFolder="" count="0" memberValueDatatype="7" unbalanced="0"/>
    <cacheHierarchy uniqueName="[ماسيو].[المسئول عن التسليم]" caption="المسئول عن التسليم" attribute="1" defaultMemberUniqueName="[ماسيو].[المسئول عن التسليم].[All]" allUniqueName="[ماسيو].[المسئول عن التسليم].[All]" dimensionUniqueName="[ماسيو]" displayFolder="" count="0" memberValueDatatype="130" unbalanced="0"/>
    <cacheHierarchy uniqueName="[ماسيو].[الحالة]" caption="الحالة" attribute="1" defaultMemberUniqueName="[ماسيو].[الحالة].[All]" allUniqueName="[ماسيو].[الحالة].[All]" dimensionUniqueName="[ماسيو]" displayFolder="" count="2" memberValueDatatype="130" unbalanced="0">
      <fieldsUsage count="2">
        <fieldUsage x="-1"/>
        <fieldUsage x="0"/>
      </fieldsUsage>
    </cacheHierarchy>
    <cacheHierarchy uniqueName="[ماسيو].[مده التسليم (الهدف)]" caption="مده التسليم (الهدف)" attribute="1" defaultMemberUniqueName="[ماسيو].[مده التسليم (الهدف)].[All]" allUniqueName="[ماسيو].[مده التسليم (الهدف)].[All]" dimensionUniqueName="[ماسيو]" displayFolder="" count="0" memberValueDatatype="20" unbalanced="0"/>
    <cacheHierarchy uniqueName="[ماسيو].[مده التسليم (الفعلي)]" caption="مده التسليم (الفعلي)" attribute="1" defaultMemberUniqueName="[ماسيو].[مده التسليم (الفعلي)].[All]" allUniqueName="[ماسيو].[مده التسليم (الفعلي)].[All]" dimensionUniqueName="[ماسيو]" displayFolder="" count="0" memberValueDatatype="20" unbalanced="0"/>
    <cacheHierarchy uniqueName="[ماسيو].[حاله التوصيل]" caption="حاله التوصيل" attribute="1" defaultMemberUniqueName="[ماسيو].[حاله التوصيل].[All]" allUniqueName="[ماسيو].[حاله التوصيل].[All]" dimensionUniqueName="[ماسيو]" displayFolder="" count="2" memberValueDatatype="130" unbalanced="0">
      <fieldsUsage count="2">
        <fieldUsage x="-1"/>
        <fieldUsage x="3"/>
      </fieldsUsage>
    </cacheHierarchy>
    <cacheHierarchy uniqueName="[Measures].[total_orders]" caption="total_orders" measure="1" displayFolder="" measureGroup="ماسيو" count="0"/>
    <cacheHierarchy uniqueName="[Measures].[count_persons and companies]" caption="count_persons and companies" measure="1" displayFolder="" measureGroup="ماسيو" count="0"/>
    <cacheHierarchy uniqueName="[Measures].[__XL_Count ماسيو]" caption="__XL_Count ماسيو" measure="1" displayFolder="" measureGroup="ماسيو" count="0" hidden="1"/>
    <cacheHierarchy uniqueName="[Measures].[__No measures defined]" caption="__No measures defined" measure="1" displayFolder="" count="0" hidden="1"/>
    <cacheHierarchy uniqueName="[Measures].[Sum of سعر البيع]" caption="Sum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Average of سعر البيع]" caption="Average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Count of المنتج]" caption="Count of المنتج" measure="1" displayFolder="" measureGroup="ماسيو" count="0" hidden="1">
      <extLst>
        <ext xmlns:x15="http://schemas.microsoft.com/office/spreadsheetml/2010/11/main" uri="{B97F6D7D-B522-45F9-BDA1-12C45D357490}">
          <x15:cacheHierarchy aggregatedColumn="11"/>
        </ext>
      </extLst>
    </cacheHierarchy>
    <cacheHierarchy uniqueName="[Measures].[Count of لون المنتج]" caption="Count of لون المنتج" measure="1" displayFolder="" measureGroup="ماسيو" count="0" hidden="1">
      <extLst>
        <ext xmlns:x15="http://schemas.microsoft.com/office/spreadsheetml/2010/11/main" uri="{B97F6D7D-B522-45F9-BDA1-12C45D357490}">
          <x15:cacheHierarchy aggregatedColumn="9"/>
        </ext>
      </extLst>
    </cacheHierarchy>
    <cacheHierarchy uniqueName="[Measures].[Count of حاله التوصيل]" caption="Count of حاله التوصيل" measure="1" displayFolder="" measureGroup="ماسيو" count="0" oneField="1" hidden="1">
      <fieldsUsage count="1">
        <fieldUsage x="2"/>
      </fieldsUsage>
      <extLst>
        <ext xmlns:x15="http://schemas.microsoft.com/office/spreadsheetml/2010/11/main" uri="{B97F6D7D-B522-45F9-BDA1-12C45D357490}">
          <x15:cacheHierarchy aggregatedColumn="22"/>
        </ext>
      </extLst>
    </cacheHierarchy>
    <cacheHierarchy uniqueName="[Measures].[Count of المحافظه]" caption="Count of المحافظه" measure="1" displayFolder="" measureGroup="ماسيو" count="0" hidden="1">
      <extLst>
        <ext xmlns:x15="http://schemas.microsoft.com/office/spreadsheetml/2010/11/main" uri="{B97F6D7D-B522-45F9-BDA1-12C45D357490}">
          <x15:cacheHierarchy aggregatedColumn="3"/>
        </ext>
      </extLst>
    </cacheHierarchy>
    <cacheHierarchy uniqueName="[Measures].[Count of أسم العميل]" caption="Count of أسم العميل" measure="1" displayFolder="" measureGroup="ماسيو" count="0" hidden="1">
      <extLst>
        <ext xmlns:x15="http://schemas.microsoft.com/office/spreadsheetml/2010/11/main" uri="{B97F6D7D-B522-45F9-BDA1-12C45D357490}">
          <x15:cacheHierarchy aggregatedColumn="0"/>
        </ext>
      </extLst>
    </cacheHierarchy>
    <cacheHierarchy uniqueName="[Measures].[Count of نوع العميل]" caption="Count of نوع العميل" measure="1" displayFolder="" measureGroup="ماسيو" count="0" hidden="1">
      <extLst>
        <ext xmlns:x15="http://schemas.microsoft.com/office/spreadsheetml/2010/11/main" uri="{B97F6D7D-B522-45F9-BDA1-12C45D357490}">
          <x15:cacheHierarchy aggregatedColumn="1"/>
        </ext>
      </extLst>
    </cacheHierarchy>
    <cacheHierarchy uniqueName="[Measures].[Count of الصنف]" caption="Count of الصنف" measure="1" displayFolder="" measureGroup="ماسيو"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ماسيو" uniqueName="[ماسيو]" caption="ماسيو"/>
  </dimensions>
  <measureGroups count="1">
    <measureGroup name="ماسيو" caption="ماسيو"/>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i Ashraf" refreshedDate="46141.166156018517" createdVersion="5" refreshedVersion="8" minRefreshableVersion="3" recordCount="0" supportSubquery="1" supportAdvancedDrill="1" xr:uid="{FD4302BC-19CE-47D7-87B4-BBD64F35445E}">
  <cacheSource type="external" connectionId="2"/>
  <cacheFields count="5">
    <cacheField name="[ماسيو].[الحالة].[الحالة]" caption="الحالة" numFmtId="0" hierarchy="19" level="1">
      <sharedItems containsSemiMixedTypes="0" containsNonDate="0" containsString="0"/>
    </cacheField>
    <cacheField name="[ماسيو].[المسئول عن التسليم].[المسئول عن التسليم]" caption="المسئول عن التسليم" numFmtId="0" hierarchy="18" level="1">
      <sharedItems count="5">
        <s v="تم التسليم بمعرفه الحج سيد"/>
        <s v="تم التسليم عن طريق شركه شحن"/>
        <s v="تم التسليم م محمد"/>
        <s v="تم التسليم محمود على"/>
        <s v="تم تسليم العميل عن طريق شركه شحن"/>
      </sharedItems>
    </cacheField>
    <cacheField name="[Measures].[Count of حاله التوصيل]" caption="Count of حاله التوصيل" numFmtId="0" hierarchy="31" level="32767"/>
    <cacheField name="[ماسيو].[حاله التوصيل].[حاله التوصيل]" caption="حاله التوصيل" numFmtId="0" hierarchy="22" level="1">
      <sharedItems count="2">
        <s v="في الموعد"/>
        <s v="متأخر" u="1"/>
      </sharedItems>
    </cacheField>
    <cacheField name="[ماسيو].[منصة البيع].[منصة البيع]" caption="منصة البيع" numFmtId="0" hierarchy="4" level="1">
      <sharedItems containsSemiMixedTypes="0" containsNonDate="0" containsString="0"/>
    </cacheField>
  </cacheFields>
  <cacheHierarchies count="36">
    <cacheHierarchy uniqueName="[ماسيو].[أسم العميل]" caption="أسم العميل" attribute="1" defaultMemberUniqueName="[ماسيو].[أسم العميل].[All]" allUniqueName="[ماسيو].[أسم العميل].[All]" dimensionUniqueName="[ماسيو]" displayFolder="" count="0" memberValueDatatype="130" unbalanced="0"/>
    <cacheHierarchy uniqueName="[ماسيو].[نوع العميل]" caption="نوع العميل" attribute="1" defaultMemberUniqueName="[ماسيو].[نوع العميل].[All]" allUniqueName="[ماسيو].[نوع العميل].[All]" dimensionUniqueName="[ماسيو]" displayFolder="" count="2" memberValueDatatype="130" unbalanced="0"/>
    <cacheHierarchy uniqueName="[ماسيو].[العنوان]" caption="العنوان" attribute="1" defaultMemberUniqueName="[ماسيو].[العنوان].[All]" allUniqueName="[ماسيو].[العنوان].[All]" dimensionUniqueName="[ماسيو]" displayFolder="" count="0" memberValueDatatype="130" unbalanced="0"/>
    <cacheHierarchy uniqueName="[ماسيو].[المحافظه]" caption="المحافظه" attribute="1" defaultMemberUniqueName="[ماسيو].[المحافظه].[All]" allUniqueName="[ماسيو].[المحافظه].[All]" dimensionUniqueName="[ماسيو]" displayFolder="" count="2" memberValueDatatype="130" unbalanced="0"/>
    <cacheHierarchy uniqueName="[ماسيو].[منصة البيع]" caption="منصة البيع" attribute="1" defaultMemberUniqueName="[ماسيو].[منصة البيع].[All]" allUniqueName="[ماسيو].[منصة البيع].[All]" dimensionUniqueName="[ماسيو]" displayFolder="" count="2" memberValueDatatype="130" unbalanced="0">
      <fieldsUsage count="2">
        <fieldUsage x="-1"/>
        <fieldUsage x="4"/>
      </fieldsUsage>
    </cacheHierarchy>
    <cacheHierarchy uniqueName="[ماسيو].[الصنف]" caption="الصنف" attribute="1" defaultMemberUniqueName="[ماسيو].[الصنف].[All]" allUniqueName="[ماسيو].[الصنف].[All]" dimensionUniqueName="[ماسيو]" displayFolder="" count="0" memberValueDatatype="130" unbalanced="0"/>
    <cacheHierarchy uniqueName="[ماسيو].[النوع]" caption="النوع" attribute="1" defaultMemberUniqueName="[ماسيو].[النوع].[All]" allUniqueName="[ماسيو].[النوع].[All]" dimensionUniqueName="[ماسيو]" displayFolder="" count="0" memberValueDatatype="130" unbalanced="0"/>
    <cacheHierarchy uniqueName="[ماسيو].[الاسم]" caption="الاسم" attribute="1" defaultMemberUniqueName="[ماسيو].[الاسم].[All]" allUniqueName="[ماسيو].[الاسم].[All]" dimensionUniqueName="[ماسيو]" displayFolder="" count="0" memberValueDatatype="130" unbalanced="0"/>
    <cacheHierarchy uniqueName="[ماسيو].[المقاس]" caption="المقاس" attribute="1" defaultMemberUniqueName="[ماسيو].[المقاس].[All]" allUniqueName="[ماسيو].[المقاس].[All]" dimensionUniqueName="[ماسيو]" displayFolder="" count="0" memberValueDatatype="130" unbalanced="0"/>
    <cacheHierarchy uniqueName="[ماسيو].[لون المنتج]" caption="لون المنتج" attribute="1" defaultMemberUniqueName="[ماسيو].[لون المنتج].[All]" allUniqueName="[ماسيو].[لون المنتج].[All]" dimensionUniqueName="[ماسيو]" displayFolder="" count="2" memberValueDatatype="130" unbalanced="0"/>
    <cacheHierarchy uniqueName="[ماسيو].[لون القماش]" caption="لون القماش" attribute="1" defaultMemberUniqueName="[ماسيو].[لون القماش].[All]" allUniqueName="[ماسيو].[لون القماش].[All]" dimensionUniqueName="[ماسيو]" displayFolder="" count="0" memberValueDatatype="130" unbalanced="0"/>
    <cacheHierarchy uniqueName="[ماسيو].[المنتج]" caption="المنتج" attribute="1" defaultMemberUniqueName="[ماسيو].[المنتج].[All]" allUniqueName="[ماسيو].[المنتج].[All]" dimensionUniqueName="[ماسيو]" displayFolder="" count="0" memberValueDatatype="130" unbalanced="0"/>
    <cacheHierarchy uniqueName="[ماسيو].[سعر البيع]" caption="سعر البيع" attribute="1" defaultMemberUniqueName="[ماسيو].[سعر البيع].[All]" allUniqueName="[ماسيو].[سعر البيع].[All]" dimensionUniqueName="[ماسيو]" displayFolder="" count="0" memberValueDatatype="5" unbalanced="0"/>
    <cacheHierarchy uniqueName="[ماسيو].[طريقه الدفع]" caption="طريقه الدفع" attribute="1" defaultMemberUniqueName="[ماسيو].[طريقه الدفع].[All]" allUniqueName="[ماسيو].[طريقه الدفع].[All]" dimensionUniqueName="[ماسيو]" displayFolder="" count="0" memberValueDatatype="130" unbalanced="0"/>
    <cacheHierarchy uniqueName="[ماسيو].[نوع الدفع]" caption="نوع الدفع" attribute="1" defaultMemberUniqueName="[ماسيو].[نوع الدفع].[All]" allUniqueName="[ماسيو].[نوع الدفع].[All]" dimensionUniqueName="[ماسيو]" displayFolder="" count="0" memberValueDatatype="130" unbalanced="0"/>
    <cacheHierarchy uniqueName="[ماسيو].[ميعاد الطلب]" caption="ميعاد الطلب" attribute="1" time="1" defaultMemberUniqueName="[ماسيو].[ميعاد الطلب].[All]" allUniqueName="[ماسيو].[ميعاد الطلب].[All]" dimensionUniqueName="[ماسيو]" displayFolder="" count="0" memberValueDatatype="7" unbalanced="0"/>
    <cacheHierarchy uniqueName="[ماسيو].[ميعاد التسليم]" caption="ميعاد التسليم" attribute="1" time="1" defaultMemberUniqueName="[ماسيو].[ميعاد التسليم].[All]" allUniqueName="[ماسيو].[ميعاد التسليم].[All]" dimensionUniqueName="[ماسيو]" displayFolder="" count="0" memberValueDatatype="7" unbalanced="0"/>
    <cacheHierarchy uniqueName="[ماسيو].[تاريخ التسليم]" caption="تاريخ التسليم" attribute="1" time="1" defaultMemberUniqueName="[ماسيو].[تاريخ التسليم].[All]" allUniqueName="[ماسيو].[تاريخ التسليم].[All]" dimensionUniqueName="[ماسيو]" displayFolder="" count="0" memberValueDatatype="7" unbalanced="0"/>
    <cacheHierarchy uniqueName="[ماسيو].[المسئول عن التسليم]" caption="المسئول عن التسليم" attribute="1" defaultMemberUniqueName="[ماسيو].[المسئول عن التسليم].[All]" allUniqueName="[ماسيو].[المسئول عن التسليم].[All]" dimensionUniqueName="[ماسيو]" displayFolder="" count="2" memberValueDatatype="130" unbalanced="0">
      <fieldsUsage count="2">
        <fieldUsage x="-1"/>
        <fieldUsage x="1"/>
      </fieldsUsage>
    </cacheHierarchy>
    <cacheHierarchy uniqueName="[ماسيو].[الحالة]" caption="الحالة" attribute="1" defaultMemberUniqueName="[ماسيو].[الحالة].[All]" allUniqueName="[ماسيو].[الحالة].[All]" dimensionUniqueName="[ماسيو]" displayFolder="" count="2" memberValueDatatype="130" unbalanced="0">
      <fieldsUsage count="2">
        <fieldUsage x="-1"/>
        <fieldUsage x="0"/>
      </fieldsUsage>
    </cacheHierarchy>
    <cacheHierarchy uniqueName="[ماسيو].[مده التسليم (الهدف)]" caption="مده التسليم (الهدف)" attribute="1" defaultMemberUniqueName="[ماسيو].[مده التسليم (الهدف)].[All]" allUniqueName="[ماسيو].[مده التسليم (الهدف)].[All]" dimensionUniqueName="[ماسيو]" displayFolder="" count="0" memberValueDatatype="20" unbalanced="0"/>
    <cacheHierarchy uniqueName="[ماسيو].[مده التسليم (الفعلي)]" caption="مده التسليم (الفعلي)" attribute="1" defaultMemberUniqueName="[ماسيو].[مده التسليم (الفعلي)].[All]" allUniqueName="[ماسيو].[مده التسليم (الفعلي)].[All]" dimensionUniqueName="[ماسيو]" displayFolder="" count="0" memberValueDatatype="20" unbalanced="0"/>
    <cacheHierarchy uniqueName="[ماسيو].[حاله التوصيل]" caption="حاله التوصيل" attribute="1" defaultMemberUniqueName="[ماسيو].[حاله التوصيل].[All]" allUniqueName="[ماسيو].[حاله التوصيل].[All]" dimensionUniqueName="[ماسيو]" displayFolder="" count="2" memberValueDatatype="130" unbalanced="0">
      <fieldsUsage count="2">
        <fieldUsage x="-1"/>
        <fieldUsage x="3"/>
      </fieldsUsage>
    </cacheHierarchy>
    <cacheHierarchy uniqueName="[Measures].[total_orders]" caption="total_orders" measure="1" displayFolder="" measureGroup="ماسيو" count="0"/>
    <cacheHierarchy uniqueName="[Measures].[count_persons and companies]" caption="count_persons and companies" measure="1" displayFolder="" measureGroup="ماسيو" count="0"/>
    <cacheHierarchy uniqueName="[Measures].[__XL_Count ماسيو]" caption="__XL_Count ماسيو" measure="1" displayFolder="" measureGroup="ماسيو" count="0" hidden="1"/>
    <cacheHierarchy uniqueName="[Measures].[__No measures defined]" caption="__No measures defined" measure="1" displayFolder="" count="0" hidden="1"/>
    <cacheHierarchy uniqueName="[Measures].[Sum of سعر البيع]" caption="Sum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Average of سعر البيع]" caption="Average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Count of المنتج]" caption="Count of المنتج" measure="1" displayFolder="" measureGroup="ماسيو" count="0" hidden="1">
      <extLst>
        <ext xmlns:x15="http://schemas.microsoft.com/office/spreadsheetml/2010/11/main" uri="{B97F6D7D-B522-45F9-BDA1-12C45D357490}">
          <x15:cacheHierarchy aggregatedColumn="11"/>
        </ext>
      </extLst>
    </cacheHierarchy>
    <cacheHierarchy uniqueName="[Measures].[Count of لون المنتج]" caption="Count of لون المنتج" measure="1" displayFolder="" measureGroup="ماسيو" count="0" hidden="1">
      <extLst>
        <ext xmlns:x15="http://schemas.microsoft.com/office/spreadsheetml/2010/11/main" uri="{B97F6D7D-B522-45F9-BDA1-12C45D357490}">
          <x15:cacheHierarchy aggregatedColumn="9"/>
        </ext>
      </extLst>
    </cacheHierarchy>
    <cacheHierarchy uniqueName="[Measures].[Count of حاله التوصيل]" caption="Count of حاله التوصيل" measure="1" displayFolder="" measureGroup="ماسيو" count="0" oneField="1" hidden="1">
      <fieldsUsage count="1">
        <fieldUsage x="2"/>
      </fieldsUsage>
      <extLst>
        <ext xmlns:x15="http://schemas.microsoft.com/office/spreadsheetml/2010/11/main" uri="{B97F6D7D-B522-45F9-BDA1-12C45D357490}">
          <x15:cacheHierarchy aggregatedColumn="22"/>
        </ext>
      </extLst>
    </cacheHierarchy>
    <cacheHierarchy uniqueName="[Measures].[Count of المحافظه]" caption="Count of المحافظه" measure="1" displayFolder="" measureGroup="ماسيو" count="0" hidden="1">
      <extLst>
        <ext xmlns:x15="http://schemas.microsoft.com/office/spreadsheetml/2010/11/main" uri="{B97F6D7D-B522-45F9-BDA1-12C45D357490}">
          <x15:cacheHierarchy aggregatedColumn="3"/>
        </ext>
      </extLst>
    </cacheHierarchy>
    <cacheHierarchy uniqueName="[Measures].[Count of أسم العميل]" caption="Count of أسم العميل" measure="1" displayFolder="" measureGroup="ماسيو" count="0" hidden="1">
      <extLst>
        <ext xmlns:x15="http://schemas.microsoft.com/office/spreadsheetml/2010/11/main" uri="{B97F6D7D-B522-45F9-BDA1-12C45D357490}">
          <x15:cacheHierarchy aggregatedColumn="0"/>
        </ext>
      </extLst>
    </cacheHierarchy>
    <cacheHierarchy uniqueName="[Measures].[Count of نوع العميل]" caption="Count of نوع العميل" measure="1" displayFolder="" measureGroup="ماسيو" count="0" hidden="1">
      <extLst>
        <ext xmlns:x15="http://schemas.microsoft.com/office/spreadsheetml/2010/11/main" uri="{B97F6D7D-B522-45F9-BDA1-12C45D357490}">
          <x15:cacheHierarchy aggregatedColumn="1"/>
        </ext>
      </extLst>
    </cacheHierarchy>
    <cacheHierarchy uniqueName="[Measures].[Count of الصنف]" caption="Count of الصنف" measure="1" displayFolder="" measureGroup="ماسيو"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ماسيو" uniqueName="[ماسيو]" caption="ماسيو"/>
  </dimensions>
  <measureGroups count="1">
    <measureGroup name="ماسيو" caption="ماسيو"/>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i Ashraf" refreshedDate="46141.166155092593" createdVersion="5" refreshedVersion="8" minRefreshableVersion="3" recordCount="0" supportSubquery="1" supportAdvancedDrill="1" xr:uid="{04BA54E5-E7F4-4AE1-B897-7DA62DABF2FD}">
  <cacheSource type="external" connectionId="2"/>
  <cacheFields count="3">
    <cacheField name="[ماسيو].[الحالة].[الحالة]" caption="الحالة" numFmtId="0" hierarchy="19" level="1">
      <sharedItems containsSemiMixedTypes="0" containsNonDate="0" containsString="0"/>
    </cacheField>
    <cacheField name="[Measures].[Count of المنتج]" caption="Count of المنتج" numFmtId="0" hierarchy="29" level="32767"/>
    <cacheField name="[ماسيو].[منصة البيع].[منصة البيع]" caption="منصة البيع" numFmtId="0" hierarchy="4" level="1">
      <sharedItems count="8">
        <s v="السويس"/>
        <s v="اوسكار ريتن"/>
        <s v="تاكى"/>
        <s v="شيك هومز"/>
        <s v="فيسبوك"/>
        <s v="كيمت"/>
        <s v="منزلى"/>
        <s v="هومزمارت"/>
      </sharedItems>
    </cacheField>
  </cacheFields>
  <cacheHierarchies count="36">
    <cacheHierarchy uniqueName="[ماسيو].[أسم العميل]" caption="أسم العميل" attribute="1" defaultMemberUniqueName="[ماسيو].[أسم العميل].[All]" allUniqueName="[ماسيو].[أسم العميل].[All]" dimensionUniqueName="[ماسيو]" displayFolder="" count="0" memberValueDatatype="130" unbalanced="0"/>
    <cacheHierarchy uniqueName="[ماسيو].[نوع العميل]" caption="نوع العميل" attribute="1" defaultMemberUniqueName="[ماسيو].[نوع العميل].[All]" allUniqueName="[ماسيو].[نوع العميل].[All]" dimensionUniqueName="[ماسيو]" displayFolder="" count="0" memberValueDatatype="130" unbalanced="0"/>
    <cacheHierarchy uniqueName="[ماسيو].[العنوان]" caption="العنوان" attribute="1" defaultMemberUniqueName="[ماسيو].[العنوان].[All]" allUniqueName="[ماسيو].[العنوان].[All]" dimensionUniqueName="[ماسيو]" displayFolder="" count="0" memberValueDatatype="130" unbalanced="0"/>
    <cacheHierarchy uniqueName="[ماسيو].[المحافظه]" caption="المحافظه" attribute="1" defaultMemberUniqueName="[ماسيو].[المحافظه].[All]" allUniqueName="[ماسيو].[المحافظه].[All]" dimensionUniqueName="[ماسيو]" displayFolder="" count="2" memberValueDatatype="130" unbalanced="0"/>
    <cacheHierarchy uniqueName="[ماسيو].[منصة البيع]" caption="منصة البيع" attribute="1" defaultMemberUniqueName="[ماسيو].[منصة البيع].[All]" allUniqueName="[ماسيو].[منصة البيع].[All]" dimensionUniqueName="[ماسيو]" displayFolder="" count="2" memberValueDatatype="130" unbalanced="0">
      <fieldsUsage count="2">
        <fieldUsage x="-1"/>
        <fieldUsage x="2"/>
      </fieldsUsage>
    </cacheHierarchy>
    <cacheHierarchy uniqueName="[ماسيو].[الصنف]" caption="الصنف" attribute="1" defaultMemberUniqueName="[ماسيو].[الصنف].[All]" allUniqueName="[ماسيو].[الصنف].[All]" dimensionUniqueName="[ماسيو]" displayFolder="" count="0" memberValueDatatype="130" unbalanced="0"/>
    <cacheHierarchy uniqueName="[ماسيو].[النوع]" caption="النوع" attribute="1" defaultMemberUniqueName="[ماسيو].[النوع].[All]" allUniqueName="[ماسيو].[النوع].[All]" dimensionUniqueName="[ماسيو]" displayFolder="" count="0" memberValueDatatype="130" unbalanced="0"/>
    <cacheHierarchy uniqueName="[ماسيو].[الاسم]" caption="الاسم" attribute="1" defaultMemberUniqueName="[ماسيو].[الاسم].[All]" allUniqueName="[ماسيو].[الاسم].[All]" dimensionUniqueName="[ماسيو]" displayFolder="" count="0" memberValueDatatype="130" unbalanced="0"/>
    <cacheHierarchy uniqueName="[ماسيو].[المقاس]" caption="المقاس" attribute="1" defaultMemberUniqueName="[ماسيو].[المقاس].[All]" allUniqueName="[ماسيو].[المقاس].[All]" dimensionUniqueName="[ماسيو]" displayFolder="" count="0" memberValueDatatype="130" unbalanced="0"/>
    <cacheHierarchy uniqueName="[ماسيو].[لون المنتج]" caption="لون المنتج" attribute="1" defaultMemberUniqueName="[ماسيو].[لون المنتج].[All]" allUniqueName="[ماسيو].[لون المنتج].[All]" dimensionUniqueName="[ماسيو]" displayFolder="" count="2" memberValueDatatype="130" unbalanced="0"/>
    <cacheHierarchy uniqueName="[ماسيو].[لون القماش]" caption="لون القماش" attribute="1" defaultMemberUniqueName="[ماسيو].[لون القماش].[All]" allUniqueName="[ماسيو].[لون القماش].[All]" dimensionUniqueName="[ماسيو]" displayFolder="" count="0" memberValueDatatype="130" unbalanced="0"/>
    <cacheHierarchy uniqueName="[ماسيو].[المنتج]" caption="المنتج" attribute="1" defaultMemberUniqueName="[ماسيو].[المنتج].[All]" allUniqueName="[ماسيو].[المنتج].[All]" dimensionUniqueName="[ماسيو]" displayFolder="" count="0" memberValueDatatype="130" unbalanced="0"/>
    <cacheHierarchy uniqueName="[ماسيو].[سعر البيع]" caption="سعر البيع" attribute="1" defaultMemberUniqueName="[ماسيو].[سعر البيع].[All]" allUniqueName="[ماسيو].[سعر البيع].[All]" dimensionUniqueName="[ماسيو]" displayFolder="" count="0" memberValueDatatype="5" unbalanced="0"/>
    <cacheHierarchy uniqueName="[ماسيو].[طريقه الدفع]" caption="طريقه الدفع" attribute="1" defaultMemberUniqueName="[ماسيو].[طريقه الدفع].[All]" allUniqueName="[ماسيو].[طريقه الدفع].[All]" dimensionUniqueName="[ماسيو]" displayFolder="" count="0" memberValueDatatype="130" unbalanced="0"/>
    <cacheHierarchy uniqueName="[ماسيو].[نوع الدفع]" caption="نوع الدفع" attribute="1" defaultMemberUniqueName="[ماسيو].[نوع الدفع].[All]" allUniqueName="[ماسيو].[نوع الدفع].[All]" dimensionUniqueName="[ماسيو]" displayFolder="" count="0" memberValueDatatype="130" unbalanced="0"/>
    <cacheHierarchy uniqueName="[ماسيو].[ميعاد الطلب]" caption="ميعاد الطلب" attribute="1" time="1" defaultMemberUniqueName="[ماسيو].[ميعاد الطلب].[All]" allUniqueName="[ماسيو].[ميعاد الطلب].[All]" dimensionUniqueName="[ماسيو]" displayFolder="" count="0" memberValueDatatype="7" unbalanced="0"/>
    <cacheHierarchy uniqueName="[ماسيو].[ميعاد التسليم]" caption="ميعاد التسليم" attribute="1" time="1" defaultMemberUniqueName="[ماسيو].[ميعاد التسليم].[All]" allUniqueName="[ماسيو].[ميعاد التسليم].[All]" dimensionUniqueName="[ماسيو]" displayFolder="" count="0" memberValueDatatype="7" unbalanced="0"/>
    <cacheHierarchy uniqueName="[ماسيو].[تاريخ التسليم]" caption="تاريخ التسليم" attribute="1" time="1" defaultMemberUniqueName="[ماسيو].[تاريخ التسليم].[All]" allUniqueName="[ماسيو].[تاريخ التسليم].[All]" dimensionUniqueName="[ماسيو]" displayFolder="" count="0" memberValueDatatype="7" unbalanced="0"/>
    <cacheHierarchy uniqueName="[ماسيو].[المسئول عن التسليم]" caption="المسئول عن التسليم" attribute="1" defaultMemberUniqueName="[ماسيو].[المسئول عن التسليم].[All]" allUniqueName="[ماسيو].[المسئول عن التسليم].[All]" dimensionUniqueName="[ماسيو]" displayFolder="" count="0" memberValueDatatype="130" unbalanced="0"/>
    <cacheHierarchy uniqueName="[ماسيو].[الحالة]" caption="الحالة" attribute="1" defaultMemberUniqueName="[ماسيو].[الحالة].[All]" allUniqueName="[ماسيو].[الحالة].[All]" dimensionUniqueName="[ماسيو]" displayFolder="" count="2" memberValueDatatype="130" unbalanced="0">
      <fieldsUsage count="2">
        <fieldUsage x="-1"/>
        <fieldUsage x="0"/>
      </fieldsUsage>
    </cacheHierarchy>
    <cacheHierarchy uniqueName="[ماسيو].[مده التسليم (الهدف)]" caption="مده التسليم (الهدف)" attribute="1" defaultMemberUniqueName="[ماسيو].[مده التسليم (الهدف)].[All]" allUniqueName="[ماسيو].[مده التسليم (الهدف)].[All]" dimensionUniqueName="[ماسيو]" displayFolder="" count="0" memberValueDatatype="20" unbalanced="0"/>
    <cacheHierarchy uniqueName="[ماسيو].[مده التسليم (الفعلي)]" caption="مده التسليم (الفعلي)" attribute="1" defaultMemberUniqueName="[ماسيو].[مده التسليم (الفعلي)].[All]" allUniqueName="[ماسيو].[مده التسليم (الفعلي)].[All]" dimensionUniqueName="[ماسيو]" displayFolder="" count="0" memberValueDatatype="20" unbalanced="0"/>
    <cacheHierarchy uniqueName="[ماسيو].[حاله التوصيل]" caption="حاله التوصيل" attribute="1" defaultMemberUniqueName="[ماسيو].[حاله التوصيل].[All]" allUniqueName="[ماسيو].[حاله التوصيل].[All]" dimensionUniqueName="[ماسيو]" displayFolder="" count="0" memberValueDatatype="130" unbalanced="0"/>
    <cacheHierarchy uniqueName="[Measures].[total_orders]" caption="total_orders" measure="1" displayFolder="" measureGroup="ماسيو" count="0"/>
    <cacheHierarchy uniqueName="[Measures].[count_persons and companies]" caption="count_persons and companies" measure="1" displayFolder="" measureGroup="ماسيو" count="0"/>
    <cacheHierarchy uniqueName="[Measures].[__XL_Count ماسيو]" caption="__XL_Count ماسيو" measure="1" displayFolder="" measureGroup="ماسيو" count="0" hidden="1"/>
    <cacheHierarchy uniqueName="[Measures].[__No measures defined]" caption="__No measures defined" measure="1" displayFolder="" count="0" hidden="1"/>
    <cacheHierarchy uniqueName="[Measures].[Sum of سعر البيع]" caption="Sum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Average of سعر البيع]" caption="Average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Count of المنتج]" caption="Count of المنتج" measure="1" displayFolder="" measureGroup="ماسيو"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لون المنتج]" caption="Count of لون المنتج" measure="1" displayFolder="" measureGroup="ماسيو" count="0" hidden="1">
      <extLst>
        <ext xmlns:x15="http://schemas.microsoft.com/office/spreadsheetml/2010/11/main" uri="{B97F6D7D-B522-45F9-BDA1-12C45D357490}">
          <x15:cacheHierarchy aggregatedColumn="9"/>
        </ext>
      </extLst>
    </cacheHierarchy>
    <cacheHierarchy uniqueName="[Measures].[Count of حاله التوصيل]" caption="Count of حاله التوصيل" measure="1" displayFolder="" measureGroup="ماسيو" count="0" hidden="1">
      <extLst>
        <ext xmlns:x15="http://schemas.microsoft.com/office/spreadsheetml/2010/11/main" uri="{B97F6D7D-B522-45F9-BDA1-12C45D357490}">
          <x15:cacheHierarchy aggregatedColumn="22"/>
        </ext>
      </extLst>
    </cacheHierarchy>
    <cacheHierarchy uniqueName="[Measures].[Count of المحافظه]" caption="Count of المحافظه" measure="1" displayFolder="" measureGroup="ماسيو" count="0" hidden="1">
      <extLst>
        <ext xmlns:x15="http://schemas.microsoft.com/office/spreadsheetml/2010/11/main" uri="{B97F6D7D-B522-45F9-BDA1-12C45D357490}">
          <x15:cacheHierarchy aggregatedColumn="3"/>
        </ext>
      </extLst>
    </cacheHierarchy>
    <cacheHierarchy uniqueName="[Measures].[Count of أسم العميل]" caption="Count of أسم العميل" measure="1" displayFolder="" measureGroup="ماسيو" count="0" hidden="1">
      <extLst>
        <ext xmlns:x15="http://schemas.microsoft.com/office/spreadsheetml/2010/11/main" uri="{B97F6D7D-B522-45F9-BDA1-12C45D357490}">
          <x15:cacheHierarchy aggregatedColumn="0"/>
        </ext>
      </extLst>
    </cacheHierarchy>
    <cacheHierarchy uniqueName="[Measures].[Count of نوع العميل]" caption="Count of نوع العميل" measure="1" displayFolder="" measureGroup="ماسيو" count="0" hidden="1">
      <extLst>
        <ext xmlns:x15="http://schemas.microsoft.com/office/spreadsheetml/2010/11/main" uri="{B97F6D7D-B522-45F9-BDA1-12C45D357490}">
          <x15:cacheHierarchy aggregatedColumn="1"/>
        </ext>
      </extLst>
    </cacheHierarchy>
    <cacheHierarchy uniqueName="[Measures].[Count of الصنف]" caption="Count of الصنف" measure="1" displayFolder="" measureGroup="ماسيو"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ماسيو" uniqueName="[ماسيو]" caption="ماسيو"/>
  </dimensions>
  <measureGroups count="1">
    <measureGroup name="ماسيو" caption="ماسيو"/>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i Ashraf" refreshedDate="46140.690196643518" createdVersion="3" refreshedVersion="8" minRefreshableVersion="3" recordCount="0" supportSubquery="1" supportAdvancedDrill="1" xr:uid="{624CE8A4-6F5B-4DC9-BD9B-F8F441E494E0}">
  <cacheSource type="external" connectionId="2">
    <extLst>
      <ext xmlns:x14="http://schemas.microsoft.com/office/spreadsheetml/2009/9/main" uri="{F057638F-6D5F-4e77-A914-E7F072B9BCA8}">
        <x14:sourceConnection name="ThisWorkbookDataModel"/>
      </ext>
    </extLst>
  </cacheSource>
  <cacheFields count="0"/>
  <cacheHierarchies count="36">
    <cacheHierarchy uniqueName="[ماسيو].[أسم العميل]" caption="أسم العميل" attribute="1" defaultMemberUniqueName="[ماسيو].[أسم العميل].[All]" allUniqueName="[ماسيو].[أسم العميل].[All]" dimensionUniqueName="[ماسيو]" displayFolder="" count="0" memberValueDatatype="130" unbalanced="0"/>
    <cacheHierarchy uniqueName="[ماسيو].[نوع العميل]" caption="نوع العميل" attribute="1" defaultMemberUniqueName="[ماسيو].[نوع العميل].[All]" allUniqueName="[ماسيو].[نوع العميل].[All]" dimensionUniqueName="[ماسيو]" displayFolder="" count="0" memberValueDatatype="130" unbalanced="0"/>
    <cacheHierarchy uniqueName="[ماسيو].[العنوان]" caption="العنوان" attribute="1" defaultMemberUniqueName="[ماسيو].[العنوان].[All]" allUniqueName="[ماسيو].[العنوان].[All]" dimensionUniqueName="[ماسيو]" displayFolder="" count="0" memberValueDatatype="130" unbalanced="0"/>
    <cacheHierarchy uniqueName="[ماسيو].[المحافظه]" caption="المحافظه" attribute="1" defaultMemberUniqueName="[ماسيو].[المحافظه].[All]" allUniqueName="[ماسيو].[المحافظه].[All]" dimensionUniqueName="[ماسيو]" displayFolder="" count="2" memberValueDatatype="130" unbalanced="0"/>
    <cacheHierarchy uniqueName="[ماسيو].[منصة البيع]" caption="منصة البيع" attribute="1" defaultMemberUniqueName="[ماسيو].[منصة البيع].[All]" allUniqueName="[ماسيو].[منصة البيع].[All]" dimensionUniqueName="[ماسيو]" displayFolder="" count="2" memberValueDatatype="130" unbalanced="0"/>
    <cacheHierarchy uniqueName="[ماسيو].[الصنف]" caption="الصنف" attribute="1" defaultMemberUniqueName="[ماسيو].[الصنف].[All]" allUniqueName="[ماسيو].[الصنف].[All]" dimensionUniqueName="[ماسيو]" displayFolder="" count="0" memberValueDatatype="130" unbalanced="0"/>
    <cacheHierarchy uniqueName="[ماسيو].[النوع]" caption="النوع" attribute="1" defaultMemberUniqueName="[ماسيو].[النوع].[All]" allUniqueName="[ماسيو].[النوع].[All]" dimensionUniqueName="[ماسيو]" displayFolder="" count="0" memberValueDatatype="130" unbalanced="0"/>
    <cacheHierarchy uniqueName="[ماسيو].[الاسم]" caption="الاسم" attribute="1" defaultMemberUniqueName="[ماسيو].[الاسم].[All]" allUniqueName="[ماسيو].[الاسم].[All]" dimensionUniqueName="[ماسيو]" displayFolder="" count="0" memberValueDatatype="130" unbalanced="0"/>
    <cacheHierarchy uniqueName="[ماسيو].[المقاس]" caption="المقاس" attribute="1" defaultMemberUniqueName="[ماسيو].[المقاس].[All]" allUniqueName="[ماسيو].[المقاس].[All]" dimensionUniqueName="[ماسيو]" displayFolder="" count="0" memberValueDatatype="130" unbalanced="0"/>
    <cacheHierarchy uniqueName="[ماسيو].[لون المنتج]" caption="لون المنتج" attribute="1" defaultMemberUniqueName="[ماسيو].[لون المنتج].[All]" allUniqueName="[ماسيو].[لون المنتج].[All]" dimensionUniqueName="[ماسيو]" displayFolder="" count="2" memberValueDatatype="130" unbalanced="0"/>
    <cacheHierarchy uniqueName="[ماسيو].[لون القماش]" caption="لون القماش" attribute="1" defaultMemberUniqueName="[ماسيو].[لون القماش].[All]" allUniqueName="[ماسيو].[لون القماش].[All]" dimensionUniqueName="[ماسيو]" displayFolder="" count="0" memberValueDatatype="130" unbalanced="0"/>
    <cacheHierarchy uniqueName="[ماسيو].[المنتج]" caption="المنتج" attribute="1" defaultMemberUniqueName="[ماسيو].[المنتج].[All]" allUniqueName="[ماسيو].[المنتج].[All]" dimensionUniqueName="[ماسيو]" displayFolder="" count="0" memberValueDatatype="130" unbalanced="0"/>
    <cacheHierarchy uniqueName="[ماسيو].[سعر البيع]" caption="سعر البيع" attribute="1" defaultMemberUniqueName="[ماسيو].[سعر البيع].[All]" allUniqueName="[ماسيو].[سعر البيع].[All]" dimensionUniqueName="[ماسيو]" displayFolder="" count="0" memberValueDatatype="5" unbalanced="0"/>
    <cacheHierarchy uniqueName="[ماسيو].[طريقه الدفع]" caption="طريقه الدفع" attribute="1" defaultMemberUniqueName="[ماسيو].[طريقه الدفع].[All]" allUniqueName="[ماسيو].[طريقه الدفع].[All]" dimensionUniqueName="[ماسيو]" displayFolder="" count="0" memberValueDatatype="130" unbalanced="0"/>
    <cacheHierarchy uniqueName="[ماسيو].[نوع الدفع]" caption="نوع الدفع" attribute="1" defaultMemberUniqueName="[ماسيو].[نوع الدفع].[All]" allUniqueName="[ماسيو].[نوع الدفع].[All]" dimensionUniqueName="[ماسيو]" displayFolder="" count="0" memberValueDatatype="130" unbalanced="0"/>
    <cacheHierarchy uniqueName="[ماسيو].[ميعاد الطلب]" caption="ميعاد الطلب" attribute="1" time="1" defaultMemberUniqueName="[ماسيو].[ميعاد الطلب].[All]" allUniqueName="[ماسيو].[ميعاد الطلب].[All]" dimensionUniqueName="[ماسيو]" displayFolder="" count="0" memberValueDatatype="7" unbalanced="0"/>
    <cacheHierarchy uniqueName="[ماسيو].[ميعاد التسليم]" caption="ميعاد التسليم" attribute="1" time="1" defaultMemberUniqueName="[ماسيو].[ميعاد التسليم].[All]" allUniqueName="[ماسيو].[ميعاد التسليم].[All]" dimensionUniqueName="[ماسيو]" displayFolder="" count="0" memberValueDatatype="7" unbalanced="0"/>
    <cacheHierarchy uniqueName="[ماسيو].[تاريخ التسليم]" caption="تاريخ التسليم" attribute="1" time="1" defaultMemberUniqueName="[ماسيو].[تاريخ التسليم].[All]" allUniqueName="[ماسيو].[تاريخ التسليم].[All]" dimensionUniqueName="[ماسيو]" displayFolder="" count="0" memberValueDatatype="7" unbalanced="0"/>
    <cacheHierarchy uniqueName="[ماسيو].[المسئول عن التسليم]" caption="المسئول عن التسليم" attribute="1" defaultMemberUniqueName="[ماسيو].[المسئول عن التسليم].[All]" allUniqueName="[ماسيو].[المسئول عن التسليم].[All]" dimensionUniqueName="[ماسيو]" displayFolder="" count="0" memberValueDatatype="130" unbalanced="0"/>
    <cacheHierarchy uniqueName="[ماسيو].[الحالة]" caption="الحالة" attribute="1" defaultMemberUniqueName="[ماسيو].[الحالة].[All]" allUniqueName="[ماسيو].[الحالة].[All]" dimensionUniqueName="[ماسيو]" displayFolder="" count="0" memberValueDatatype="130" unbalanced="0"/>
    <cacheHierarchy uniqueName="[ماسيو].[مده التسليم (الهدف)]" caption="مده التسليم (الهدف)" attribute="1" defaultMemberUniqueName="[ماسيو].[مده التسليم (الهدف)].[All]" allUniqueName="[ماسيو].[مده التسليم (الهدف)].[All]" dimensionUniqueName="[ماسيو]" displayFolder="" count="0" memberValueDatatype="20" unbalanced="0"/>
    <cacheHierarchy uniqueName="[ماسيو].[مده التسليم (الفعلي)]" caption="مده التسليم (الفعلي)" attribute="1" defaultMemberUniqueName="[ماسيو].[مده التسليم (الفعلي)].[All]" allUniqueName="[ماسيو].[مده التسليم (الفعلي)].[All]" dimensionUniqueName="[ماسيو]" displayFolder="" count="0" memberValueDatatype="20" unbalanced="0"/>
    <cacheHierarchy uniqueName="[ماسيو].[حاله التوصيل]" caption="حاله التوصيل" attribute="1" defaultMemberUniqueName="[ماسيو].[حاله التوصيل].[All]" allUniqueName="[ماسيو].[حاله التوصيل].[All]" dimensionUniqueName="[ماسيو]" displayFolder="" count="0" memberValueDatatype="130" unbalanced="0"/>
    <cacheHierarchy uniqueName="[Measures].[total_orders]" caption="total_orders" measure="1" displayFolder="" measureGroup="ماسيو" count="0"/>
    <cacheHierarchy uniqueName="[Measures].[count_persons and companies]" caption="count_persons and companies" measure="1" displayFolder="" measureGroup="ماسيو" count="0"/>
    <cacheHierarchy uniqueName="[Measures].[__XL_Count ماسيو]" caption="__XL_Count ماسيو" measure="1" displayFolder="" measureGroup="ماسيو" count="0" hidden="1"/>
    <cacheHierarchy uniqueName="[Measures].[__No measures defined]" caption="__No measures defined" measure="1" displayFolder="" count="0" hidden="1"/>
    <cacheHierarchy uniqueName="[Measures].[Sum of سعر البيع]" caption="Sum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Average of سعر البيع]" caption="Average of سعر البيع" measure="1" displayFolder="" measureGroup="ماسيو" count="0" hidden="1">
      <extLst>
        <ext xmlns:x15="http://schemas.microsoft.com/office/spreadsheetml/2010/11/main" uri="{B97F6D7D-B522-45F9-BDA1-12C45D357490}">
          <x15:cacheHierarchy aggregatedColumn="12"/>
        </ext>
      </extLst>
    </cacheHierarchy>
    <cacheHierarchy uniqueName="[Measures].[Count of المنتج]" caption="Count of المنتج" measure="1" displayFolder="" measureGroup="ماسيو" count="0" hidden="1">
      <extLst>
        <ext xmlns:x15="http://schemas.microsoft.com/office/spreadsheetml/2010/11/main" uri="{B97F6D7D-B522-45F9-BDA1-12C45D357490}">
          <x15:cacheHierarchy aggregatedColumn="11"/>
        </ext>
      </extLst>
    </cacheHierarchy>
    <cacheHierarchy uniqueName="[Measures].[Count of لون المنتج]" caption="Count of لون المنتج" measure="1" displayFolder="" measureGroup="ماسيو" count="0" hidden="1">
      <extLst>
        <ext xmlns:x15="http://schemas.microsoft.com/office/spreadsheetml/2010/11/main" uri="{B97F6D7D-B522-45F9-BDA1-12C45D357490}">
          <x15:cacheHierarchy aggregatedColumn="9"/>
        </ext>
      </extLst>
    </cacheHierarchy>
    <cacheHierarchy uniqueName="[Measures].[Count of حاله التوصيل]" caption="Count of حاله التوصيل" measure="1" displayFolder="" measureGroup="ماسيو" count="0" hidden="1">
      <extLst>
        <ext xmlns:x15="http://schemas.microsoft.com/office/spreadsheetml/2010/11/main" uri="{B97F6D7D-B522-45F9-BDA1-12C45D357490}">
          <x15:cacheHierarchy aggregatedColumn="22"/>
        </ext>
      </extLst>
    </cacheHierarchy>
    <cacheHierarchy uniqueName="[Measures].[Count of المحافظه]" caption="Count of المحافظه" measure="1" displayFolder="" measureGroup="ماسيو" count="0" hidden="1">
      <extLst>
        <ext xmlns:x15="http://schemas.microsoft.com/office/spreadsheetml/2010/11/main" uri="{B97F6D7D-B522-45F9-BDA1-12C45D357490}">
          <x15:cacheHierarchy aggregatedColumn="3"/>
        </ext>
      </extLst>
    </cacheHierarchy>
    <cacheHierarchy uniqueName="[Measures].[Count of أسم العميل]" caption="Count of أسم العميل" measure="1" displayFolder="" measureGroup="ماسيو" count="0" hidden="1">
      <extLst>
        <ext xmlns:x15="http://schemas.microsoft.com/office/spreadsheetml/2010/11/main" uri="{B97F6D7D-B522-45F9-BDA1-12C45D357490}">
          <x15:cacheHierarchy aggregatedColumn="0"/>
        </ext>
      </extLst>
    </cacheHierarchy>
    <cacheHierarchy uniqueName="[Measures].[Count of نوع العميل]" caption="Count of نوع العميل" measure="1" displayFolder="" measureGroup="ماسيو" count="0" hidden="1">
      <extLst>
        <ext xmlns:x15="http://schemas.microsoft.com/office/spreadsheetml/2010/11/main" uri="{B97F6D7D-B522-45F9-BDA1-12C45D357490}">
          <x15:cacheHierarchy aggregatedColumn="1"/>
        </ext>
      </extLst>
    </cacheHierarchy>
    <cacheHierarchy uniqueName="[Measures].[Count of الصنف]" caption="Count of الصنف" measure="1" displayFolder="" measureGroup="ماسيو"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53487466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2F16CF-479E-409A-81B0-6F25967D8661}" name="اجمالي مبيعات" cacheId="110" applyNumberFormats="0" applyBorderFormats="0" applyFontFormats="0" applyPatternFormats="0" applyAlignmentFormats="0" applyWidthHeightFormats="1" dataCaption="Values" tag="99c576a3-2548-4787-b191-605bd88dda3f" updatedVersion="8" minRefreshableVersion="3" useAutoFormatting="1" subtotalHiddenItems="1" itemPrintTitles="1" createdVersion="5" indent="0" outline="1" outlineData="1" multipleFieldFilters="0">
  <location ref="B4:B5" firstHeaderRow="1" firstDataRow="1" firstDataCol="0" rowPageCount="1" colPageCount="1"/>
  <pivotFields count="3">
    <pivotField axis="axisPage"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pageFields count="1">
    <pageField fld="0" hier="19" name="[ماسيو].[الحالة].&amp;[مرتجع]" cap="مرتجع"/>
  </pageFields>
  <dataFields count="1">
    <dataField name="Sum of سعر البيع" fld="1" baseField="0" baseItem="0" numFmtId="164"/>
  </dataFields>
  <formats count="1">
    <format dxfId="32">
      <pivotArea outline="0" collapsedLevelsAreSubtotals="1" fieldPosition="0"/>
    </format>
  </formats>
  <pivotHierarchies count="3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ماسيو].[الحالة].&amp;[مرتجع]"/>
        <member name="[ماسيو].[الحالة].&amp;[تم التسليم]"/>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ماسيو]"/>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7303A6-8BEC-4146-984F-9E9EA486125E}" name="PivotTable1" cacheId="127" applyNumberFormats="0" applyBorderFormats="0" applyFontFormats="0" applyPatternFormats="0" applyAlignmentFormats="0" applyWidthHeightFormats="1" dataCaption="Values" tag="75acfb56-3f6b-4b67-9c11-a7d860d9ef12" updatedVersion="8" minRefreshableVersion="3" useAutoFormatting="1" subtotalHiddenItems="1" rowGrandTotals="0" colGrandTotals="0" itemPrintTitles="1" createdVersion="5" indent="0" outline="1" outlineData="1" multipleFieldFilters="0" chartFormat="20">
  <location ref="K43:L49" firstHeaderRow="1" firstDataRow="2" firstDataCol="1"/>
  <pivotFields count="5">
    <pivotField allDrilled="1" subtotalTop="0" showAll="0" dataSourceSort="1" defaultSubtotal="0" defaultAttributeDrillState="1"/>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2">
        <item s="1" x="0"/>
        <item x="1"/>
      </items>
    </pivotField>
    <pivotField allDrilled="1" subtotalTop="0" showAll="0" dataSourceSort="1" defaultSubtotal="0" defaultAttributeDrillState="1"/>
  </pivotFields>
  <rowFields count="1">
    <field x="1"/>
  </rowFields>
  <rowItems count="5">
    <i>
      <x v="3"/>
    </i>
    <i>
      <x v="1"/>
    </i>
    <i>
      <x/>
    </i>
    <i>
      <x v="4"/>
    </i>
    <i>
      <x v="2"/>
    </i>
  </rowItems>
  <colFields count="1">
    <field x="3"/>
  </colFields>
  <colItems count="1">
    <i>
      <x/>
    </i>
  </colItems>
  <dataFields count="1">
    <dataField name="Count of حاله التوصيل" fld="2" subtotal="count" baseField="0" baseItem="0"/>
  </dataFields>
  <formats count="1">
    <format dxfId="33">
      <pivotArea outline="0" collapsedLevelsAreSubtotals="1" fieldPosition="0"/>
    </format>
  </formats>
  <chartFormats count="6">
    <chartFormat chart="12" format="8" series="1">
      <pivotArea type="data" outline="0" fieldPosition="0">
        <references count="2">
          <reference field="4294967294" count="1" selected="0">
            <x v="0"/>
          </reference>
          <reference field="3" count="1" selected="0">
            <x v="0"/>
          </reference>
        </references>
      </pivotArea>
    </chartFormat>
    <chartFormat chart="12" format="9" series="1">
      <pivotArea type="data" outline="0" fieldPosition="0">
        <references count="2">
          <reference field="4294967294" count="1" selected="0">
            <x v="0"/>
          </reference>
          <reference field="3" count="1" selected="0">
            <x v="1"/>
          </reference>
        </references>
      </pivotArea>
    </chartFormat>
    <chartFormat chart="12" format="10">
      <pivotArea type="data" outline="0" fieldPosition="0">
        <references count="3">
          <reference field="4294967294" count="1" selected="0">
            <x v="0"/>
          </reference>
          <reference field="1" count="1" selected="0">
            <x v="3"/>
          </reference>
          <reference field="3" count="1" selected="0">
            <x v="0"/>
          </reference>
        </references>
      </pivotArea>
    </chartFormat>
    <chartFormat chart="12" format="11">
      <pivotArea type="data" outline="0" fieldPosition="0">
        <references count="3">
          <reference field="4294967294" count="1" selected="0">
            <x v="0"/>
          </reference>
          <reference field="1" count="1" selected="0">
            <x v="1"/>
          </reference>
          <reference field="3" count="1" selected="0">
            <x v="0"/>
          </reference>
        </references>
      </pivotArea>
    </chartFormat>
    <chartFormat chart="12" format="12">
      <pivotArea type="data" outline="0" fieldPosition="0">
        <references count="3">
          <reference field="4294967294" count="1" selected="0">
            <x v="0"/>
          </reference>
          <reference field="1" count="1" selected="0">
            <x v="1"/>
          </reference>
          <reference field="3" count="1" selected="0">
            <x v="1"/>
          </reference>
        </references>
      </pivotArea>
    </chartFormat>
    <chartFormat chart="12" format="13"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ماسيو].[الحالة].&amp;[مرتجع]"/>
        <member name="[ماسيو].[الحالة].&amp;[تم التسليم]"/>
      </members>
    </pivotHierarchy>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سعر البيع"/>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31">
      <autoFilter ref="A1">
        <filterColumn colId="0">
          <top10 val="5" filterVal="5"/>
        </filterColumn>
      </autoFilter>
    </filter>
  </filters>
  <rowHierarchiesUsage count="1">
    <rowHierarchyUsage hierarchyUsage="18"/>
  </rowHierarchiesUsage>
  <colHierarchiesUsage count="1">
    <colHierarchyUsage hierarchyUsage="2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ماسيو]"/>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BA7C6D-8C03-4276-901C-45C5A1E46FCE}" name="المنتج الاكثر مبيعا" cacheId="118" applyNumberFormats="0" applyBorderFormats="0" applyFontFormats="0" applyPatternFormats="0" applyAlignmentFormats="0" applyWidthHeightFormats="1" dataCaption="Values" tag="1bc1993f-f863-4b3c-92cf-d273efaeae3e" updatedVersion="8" minRefreshableVersion="3" useAutoFormatting="1" subtotalHiddenItems="1" rowGrandTotals="0" itemPrintTitles="1" createdVersion="5" indent="0" outline="1" outlineData="1" multipleFieldFilters="0">
  <location ref="B26:C27" firstHeaderRow="1" firstDataRow="1" firstDataCol="1"/>
  <pivotFields count="5">
    <pivotField allDrilled="1" subtotalTop="0" showAll="0" dataSourceSort="1" defaultSubtotal="0" defaultAttributeDrillState="1"/>
    <pivotField allDrilled="1" subtotalTop="0" showAll="0" measureFilter="1" dataSourceSort="1" defaultSubtotal="0" defaultAttributeDrillState="1">
      <items count="1">
        <item x="0"/>
      </items>
    </pivotField>
    <pivotField dataField="1" subtotalTop="0" showAll="0" defaultSubtotal="0"/>
    <pivotField axis="axisRow" allDrilled="1" subtotalTop="0" showAll="0" measureFilter="1" dataSourceSort="1" defaultSubtotal="0" defaultAttributeDrillState="1">
      <items count="1">
        <item x="0"/>
      </items>
    </pivotField>
    <pivotField allDrilled="1" subtotalTop="0" showAll="0" dataSourceSort="1" defaultSubtotal="0" defaultAttributeDrillState="1"/>
  </pivotFields>
  <rowFields count="1">
    <field x="3"/>
  </rowFields>
  <rowItems count="1">
    <i>
      <x/>
    </i>
  </rowItems>
  <colItems count="1">
    <i/>
  </colItems>
  <dataFields count="1">
    <dataField name="Count of الصنف" fld="2" subtotal="count" baseField="0" baseItem="0"/>
  </dataFields>
  <formats count="1">
    <format dxfId="34">
      <pivotArea outline="0" collapsedLevelsAreSubtotals="1" fieldPosition="0"/>
    </format>
  </formats>
  <pivotHierarchies count="3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ماسيو].[الحالة].&amp;[مرتجع]"/>
        <member name="[ماسيو].[الحالة].&amp;[تم التسليم]"/>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1" type="count" id="1" iMeasureHier="29">
      <autoFilter ref="A1">
        <filterColumn colId="0">
          <top10 val="1" filterVal="1"/>
        </filterColumn>
      </autoFilter>
    </filter>
    <filter fld="3" type="count" id="2" iMeasureHier="35">
      <autoFilter ref="A1">
        <filterColumn colId="0">
          <top10 val="1" filterVal="1"/>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ماسيو]"/>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F7E3447-E766-4875-AF21-F47987F73D7E}" name="TOTAL ORDERS" cacheId="108" applyNumberFormats="0" applyBorderFormats="0" applyFontFormats="0" applyPatternFormats="0" applyAlignmentFormats="0" applyWidthHeightFormats="1" dataCaption="Values" tag="92b76203-475a-4d1b-9099-2887b5c4bd45" updatedVersion="8" minRefreshableVersion="3" useAutoFormatting="1" subtotalHiddenItems="1" itemPrintTitles="1" createdVersion="5" indent="0" outline="1" outlineData="1" multipleFieldFilters="0">
  <location ref="F2:F3" firstHeaderRow="1" firstDataRow="1" firstDataCol="0"/>
  <pivotFields count="3">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dataFields count="1">
    <dataField fld="1" subtotal="count" baseField="0" baseItem="0"/>
  </dataFields>
  <formats count="1">
    <format dxfId="35">
      <pivotArea outline="0" collapsedLevelsAreSubtotals="1" fieldPosition="0"/>
    </format>
  </formats>
  <pivotHierarchies count="3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ماسيو].[الحالة].&amp;[مرتجع]"/>
        <member name="[ماسيو].[الحالة].&amp;[تم التسليم]"/>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ماسيو]"/>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5112062-8E8A-4AC1-8EA2-0F8F28BC87FD}" name="اعلي محافظه" cacheId="112" applyNumberFormats="0" applyBorderFormats="0" applyFontFormats="0" applyPatternFormats="0" applyAlignmentFormats="0" applyWidthHeightFormats="1" dataCaption="Values" tag="31e762a5-b580-4072-a946-f8f4a83d431b" updatedVersion="8" minRefreshableVersion="3" useAutoFormatting="1" subtotalHiddenItems="1" rowGrandTotals="0" itemPrintTitles="1" createdVersion="5" indent="0" outline="1" outlineData="1" multipleFieldFilters="0" chartFormat="4">
  <location ref="O2:P12" firstHeaderRow="1" firstDataRow="1" firstDataCol="1"/>
  <pivotFields count="4">
    <pivotField allDrilled="1" subtotalTop="0" showAll="0" dataSourceSort="1" defaultSubtotal="0" defaultAttributeDrillState="1"/>
    <pivotField axis="axisRow"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10">
    <i>
      <x v="5"/>
    </i>
    <i>
      <x v="3"/>
    </i>
    <i>
      <x v="7"/>
    </i>
    <i>
      <x v="8"/>
    </i>
    <i>
      <x v="4"/>
    </i>
    <i>
      <x v="6"/>
    </i>
    <i>
      <x v="1"/>
    </i>
    <i>
      <x v="2"/>
    </i>
    <i>
      <x v="9"/>
    </i>
    <i>
      <x/>
    </i>
  </rowItems>
  <colItems count="1">
    <i/>
  </colItems>
  <dataFields count="1">
    <dataField name="Count of أسم العميل" fld="2" subtotal="count" baseField="0" baseItem="0"/>
  </dataFields>
  <formats count="1">
    <format dxfId="36">
      <pivotArea outline="0" collapsedLevelsAreSubtotals="1" fieldPosition="0"/>
    </format>
  </formats>
  <pivotHierarchies count="3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ماسيو].[الحالة].&amp;[مرتجع]"/>
        <member name="[ماسيو].[الحالة].&amp;[تم التسليم]"/>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سعر البيع"/>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ماسيو]"/>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D0FAB5B-5EBA-4134-B80D-51867578D91E}" name="الافراد والشركات" cacheId="114" applyNumberFormats="0" applyBorderFormats="0" applyFontFormats="0" applyPatternFormats="0" applyAlignmentFormats="0" applyWidthHeightFormats="1" dataCaption="Values" tag="e61f6f0b-1ebe-4a52-b8c7-3f7eca5c0f30" updatedVersion="8" minRefreshableVersion="3" useAutoFormatting="1" subtotalHiddenItems="1" rowGrandTotals="0" itemPrintTitles="1" createdVersion="5" indent="0" outline="1" outlineData="1" multipleFieldFilters="0" chartFormat="7">
  <location ref="N28:O30"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2">
    <i>
      <x/>
    </i>
    <i>
      <x v="1"/>
    </i>
  </rowItems>
  <colItems count="1">
    <i/>
  </colItems>
  <dataFields count="1">
    <dataField name="Count of نوع العميل" fld="2" subtotal="count" baseField="0" baseItem="0"/>
  </dataFields>
  <formats count="1">
    <format dxfId="37">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ماسيو].[الحالة].&amp;[مرتجع]"/>
        <member name="[ماسيو].[الحالة].&amp;[تم التسليم]"/>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سعر البيع"/>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ماسيو]"/>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69A1B69-5014-4550-9DC6-53B58314E5F4}" name="المنتجات المباعه حسب منصه" cacheId="121" applyNumberFormats="0" applyBorderFormats="0" applyFontFormats="0" applyPatternFormats="0" applyAlignmentFormats="0" applyWidthHeightFormats="1" dataCaption="Values" tag="aa556eb3-011f-4f90-9f64-80f5dfec4dc9" updatedVersion="8" minRefreshableVersion="3" useAutoFormatting="1" subtotalHiddenItems="1" rowGrandTotals="0" itemPrintTitles="1" createdVersion="5" indent="0" outline="1" outlineData="1" multipleFieldFilters="0" chartFormat="26">
  <location ref="K2:L10" firstHeaderRow="1" firstDataRow="1" firstDataCol="1"/>
  <pivotFields count="3">
    <pivotField allDrilled="1" subtotalTop="0" showAll="0" dataSourceSort="1" defaultSubtotal="0" defaultAttributeDrillState="1"/>
    <pivotField dataField="1" subtotalTop="0" showAll="0" defaultSubtotal="0"/>
    <pivotField axis="axisRow" allDrilled="1"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s>
  <rowFields count="1">
    <field x="2"/>
  </rowFields>
  <rowItems count="8">
    <i>
      <x v="7"/>
    </i>
    <i>
      <x v="3"/>
    </i>
    <i>
      <x v="1"/>
    </i>
    <i>
      <x v="2"/>
    </i>
    <i>
      <x/>
    </i>
    <i>
      <x v="4"/>
    </i>
    <i>
      <x v="6"/>
    </i>
    <i>
      <x v="5"/>
    </i>
  </rowItems>
  <colItems count="1">
    <i/>
  </colItems>
  <dataFields count="1">
    <dataField name="Count of المنتج" fld="1" subtotal="count" baseField="0" baseItem="0"/>
  </dataFields>
  <formats count="2">
    <format dxfId="39">
      <pivotArea outline="0" collapsedLevelsAreSubtotals="1" fieldPosition="0"/>
    </format>
    <format dxfId="38">
      <pivotArea collapsedLevelsAreSubtotals="1" fieldPosition="0">
        <references count="1">
          <reference field="2" count="0"/>
        </references>
      </pivotArea>
    </format>
  </formats>
  <chartFormats count="2">
    <chartFormat chart="1" format="1"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ماسيو].[الحالة].&amp;[مرتجع]"/>
        <member name="[ماسيو].[الحالة].&amp;[تم التسليم]"/>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سعر البيع"/>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ماسيو]"/>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DE0FE98-D72F-493C-A681-BB4F45F89750}" name="اللون الاكثر مبيعا" cacheId="116" applyNumberFormats="0" applyBorderFormats="0" applyFontFormats="0" applyPatternFormats="0" applyAlignmentFormats="0" applyWidthHeightFormats="1" dataCaption="Values" tag="180b4319-44f2-40ee-8d7f-4ebe0881f24a" updatedVersion="8" minRefreshableVersion="3" useAutoFormatting="1" subtotalHiddenItems="1" rowGrandTotals="0" itemPrintTitles="1" createdVersion="5" indent="0" outline="1" outlineData="1" multipleFieldFilters="0">
  <location ref="F27:G32" firstHeaderRow="1" firstDataRow="1" firstDataCol="1"/>
  <pivotFields count="5">
    <pivotField allDrilled="1" subtotalTop="0" showAll="0" dataSourceSort="1" defaultSubtotal="0" defaultAttributeDrillState="1"/>
    <pivotField allDrilled="1" subtotalTop="0" showAll="0" measureFilter="1" dataSourceSort="1" defaultSubtotal="0" defaultAttributeDrillState="1">
      <items count="1">
        <item x="0"/>
      </items>
    </pivotField>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s>
  <rowFields count="1">
    <field x="3"/>
  </rowFields>
  <rowItems count="5">
    <i>
      <x/>
    </i>
    <i>
      <x v="1"/>
    </i>
    <i>
      <x v="2"/>
    </i>
    <i>
      <x v="3"/>
    </i>
    <i>
      <x v="4"/>
    </i>
  </rowItems>
  <colItems count="1">
    <i/>
  </colItems>
  <dataFields count="1">
    <dataField name="Count of لون المنتج" fld="2" subtotal="count" baseField="0" baseItem="0"/>
  </dataFields>
  <formats count="1">
    <format dxfId="40">
      <pivotArea outline="0" collapsedLevelsAreSubtotals="1" fieldPosition="0"/>
    </format>
  </formats>
  <pivotHierarchies count="3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ماسيو].[الحالة].&amp;[مرتجع]"/>
        <member name="[ماسيو].[الحالة].&amp;[تم التسليم]"/>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9">
      <autoFilter ref="A1">
        <filterColumn colId="0">
          <top10 val="1" filterVal="1"/>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ماسيو]"/>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AD54A87-9CF9-418E-B498-2ED4F17CB9A6}" name="متوسط سعر البيع" cacheId="123" applyNumberFormats="0" applyBorderFormats="0" applyFontFormats="0" applyPatternFormats="0" applyAlignmentFormats="0" applyWidthHeightFormats="1" dataCaption="Values" tag="b27486a9-4ece-4bac-b38e-ca91209f7493" updatedVersion="8" minRefreshableVersion="3" useAutoFormatting="1" subtotalHiddenItems="1" itemPrintTitles="1" createdVersion="5" indent="0" outline="1" outlineData="1" multipleFieldFilters="0">
  <location ref="H2:H3" firstHeaderRow="1" firstDataRow="1" firstDataCol="0"/>
  <pivotFields count="3">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dataFields count="1">
    <dataField name="Average of سعر البيع" fld="1" subtotal="average" baseField="0" baseItem="0"/>
  </dataFields>
  <formats count="1">
    <format dxfId="41">
      <pivotArea outline="0" collapsedLevelsAreSubtotals="1" fieldPosition="0"/>
    </format>
  </formats>
  <pivotHierarchies count="3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ماسيو].[الحالة].&amp;[مرتجع]"/>
        <member name="[ماسيو].[الحالة].&amp;[تم التسليم]"/>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سعر البيع"/>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ماسيو]"/>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C6063B1-7656-44C7-8C69-F34278057CC1}" name="نسبه الطلبات" cacheId="125" applyNumberFormats="0" applyBorderFormats="0" applyFontFormats="0" applyPatternFormats="0" applyAlignmentFormats="0" applyWidthHeightFormats="1" dataCaption="Values" tag="34754a58-1a6a-46fb-a00b-0b59e1e19e72" updatedVersion="8" minRefreshableVersion="3" useAutoFormatting="1" subtotalHiddenItems="1" rowGrandTotals="0" itemPrintTitles="1" createdVersion="5" indent="0" outline="1" outlineData="1" multipleFieldFilters="0" chartFormat="7">
  <location ref="J28:K30" firstHeaderRow="1" firstDataRow="1" firstDataCol="1"/>
  <pivotFields count="5">
    <pivotField allDrilled="1" subtotalTop="0" showAll="0" dataSourceSort="1" defaultSubtotal="0" defaultAttributeDrillState="1"/>
    <pivotField allDrilled="1" subtotalTop="0" showAll="0" measureFilter="1" dataSourceSort="1" defaultSubtotal="0" defaultAttributeDrillState="1">
      <items count="1">
        <item x="0"/>
      </items>
    </pivotField>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3"/>
  </rowFields>
  <rowItems count="2">
    <i>
      <x/>
    </i>
    <i>
      <x v="1"/>
    </i>
  </rowItems>
  <colItems count="1">
    <i/>
  </colItems>
  <dataFields count="1">
    <dataField name="Count of حاله التوصيل" fld="2" subtotal="count" showDataAs="percentOfTotal" baseField="3" baseItem="0" numFmtId="10"/>
  </dataFields>
  <formats count="2">
    <format dxfId="43">
      <pivotArea outline="0" collapsedLevelsAreSubtotals="1" fieldPosition="0"/>
    </format>
    <format dxfId="42">
      <pivotArea outline="0" fieldPosition="0">
        <references count="1">
          <reference field="4294967294" count="1">
            <x v="0"/>
          </reference>
        </references>
      </pivotArea>
    </format>
  </format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3" count="1" selected="0">
            <x v="0"/>
          </reference>
        </references>
      </pivotArea>
    </chartFormat>
    <chartFormat chart="3" format="6">
      <pivotArea type="data" outline="0" fieldPosition="0">
        <references count="2">
          <reference field="4294967294" count="1" selected="0">
            <x v="0"/>
          </reference>
          <reference field="3" count="1" selected="0">
            <x v="1"/>
          </reference>
        </references>
      </pivotArea>
    </chartFormat>
  </chartFormats>
  <pivotHierarchies count="3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ماسيو].[الحالة].&amp;[مرتجع]"/>
        <member name="[ماسيو].[الحالة].&amp;[تم التسليم]"/>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9">
      <autoFilter ref="A1">
        <filterColumn colId="0">
          <top10 val="1" filterVal="1"/>
        </filterColumn>
      </autoFilter>
    </filter>
  </filters>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ماسيو]"/>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6B96A49-9BB9-467D-AB21-D377CA8B107D}" autoFormatId="16" applyNumberFormats="0" applyBorderFormats="0" applyFontFormats="0" applyPatternFormats="0" applyAlignmentFormats="0" applyWidthHeightFormats="0">
  <queryTableRefresh nextId="26">
    <queryTableFields count="23">
      <queryTableField id="1" name="أسم العميل" tableColumnId="1"/>
      <queryTableField id="2" name="نوع العميل" tableColumnId="2"/>
      <queryTableField id="3" name="العنوان" tableColumnId="3"/>
      <queryTableField id="4" name="المحافظه" tableColumnId="4"/>
      <queryTableField id="5" name="منصة البيع" tableColumnId="5"/>
      <queryTableField id="6" name="الصنف" tableColumnId="6"/>
      <queryTableField id="7" name="النوع" tableColumnId="7"/>
      <queryTableField id="8" name="الاسم" tableColumnId="8"/>
      <queryTableField id="12" name="المنتج" tableColumnId="12"/>
      <queryTableField id="10" name="لون المنتج" tableColumnId="10"/>
      <queryTableField id="9" name="المقاس" tableColumnId="9"/>
      <queryTableField id="11" name="لون القماش" tableColumnId="11"/>
      <queryTableField id="13" name="سعر البيع" tableColumnId="13"/>
      <queryTableField id="14" name="طريقه الدفع" tableColumnId="14"/>
      <queryTableField id="15" name="نوع الدفع" tableColumnId="15"/>
      <queryTableField id="16" name="ميعاد الطلب" tableColumnId="16"/>
      <queryTableField id="17" name="ميعاد التسليم" tableColumnId="17"/>
      <queryTableField id="18" name="تاريخ التسليم" tableColumnId="18"/>
      <queryTableField id="19" name="المسئول عن التسليم" tableColumnId="19"/>
      <queryTableField id="20" name="الحالة" tableColumnId="20"/>
      <queryTableField id="21" name="مده التسليم (الهدف)" tableColumnId="21"/>
      <queryTableField id="22" name="مده التسليم (الفعلي)" tableColumnId="22"/>
      <queryTableField id="23" name="حاله التوصيل"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محافظه" xr10:uid="{557DAF6C-A9AD-4A26-B12C-EE7D03CDEC65}" sourceName="[ماسيو].[المحافظه]">
  <pivotTables>
    <pivotTable tabId="3" name="TOTAL ORDERS"/>
    <pivotTable tabId="3" name="اجمالي مبيعات"/>
    <pivotTable tabId="3" name="اعلي محافظه"/>
    <pivotTable tabId="3" name="الافراد والشركات"/>
    <pivotTable tabId="3" name="اللون الاكثر مبيعا"/>
    <pivotTable tabId="3" name="المنتج الاكثر مبيعا"/>
    <pivotTable tabId="3" name="المنتجات المباعه حسب منصه"/>
    <pivotTable tabId="3" name="متوسط سعر البيع"/>
    <pivotTable tabId="3" name="نسبه الطلبات"/>
    <pivotTable tabId="3" name="PivotTable1"/>
  </pivotTables>
  <data>
    <olap pivotCacheId="1534874664">
      <levels count="2">
        <level uniqueName="[ماسيو].[المحافظه].[(All)]" sourceCaption="(All)" count="0"/>
        <level uniqueName="[ماسيو].[المحافظه].[المحافظه]" sourceCaption="المحافظه" count="10">
          <ranges>
            <range startItem="0">
              <i n="[ماسيو].[المحافظه].&amp;[أسيوط]" c="أسيوط"/>
              <i n="[ماسيو].[المحافظه].&amp;[الإسكندرية]" c="الإسكندرية"/>
              <i n="[ماسيو].[المحافظه].&amp;[البحر الأحمر]" c="البحر الأحمر"/>
              <i n="[ماسيو].[المحافظه].&amp;[الجيزة]" c="الجيزة"/>
              <i n="[ماسيو].[المحافظه].&amp;[السويس]" c="السويس"/>
              <i n="[ماسيو].[المحافظه].&amp;[القاهرة]" c="القاهرة"/>
              <i n="[ماسيو].[المحافظه].&amp;[القليوبية]" c="القليوبية"/>
              <i n="[ماسيو].[المحافظه].&amp;[غير محدد]" c="غير محدد"/>
              <i n="[ماسيو].[المحافظه].&amp;[غير معروف]" c="غير معروف"/>
              <i n="[ماسيو].[المحافظه].&amp;[مطروح]" c="مطروح"/>
            </range>
          </ranges>
        </level>
      </levels>
      <selections count="1">
        <selection n="[ماسيو].[المحافظه].[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لون_المنتج" xr10:uid="{CB81A6FC-47A5-4FEF-8398-B054341EFE14}" sourceName="[ماسيو].[لون المنتج]">
  <pivotTables>
    <pivotTable tabId="3" name="اجمالي مبيعات"/>
    <pivotTable tabId="3" name="اعلي محافظه"/>
    <pivotTable tabId="3" name="المنتج الاكثر مبيعا"/>
    <pivotTable tabId="3" name="الافراد والشركات"/>
    <pivotTable tabId="3" name="المنتجات المباعه حسب منصه"/>
    <pivotTable tabId="3" name="متوسط سعر البيع"/>
    <pivotTable tabId="3" name="نسبه الطلبات"/>
    <pivotTable tabId="3" name="TOTAL ORDERS"/>
    <pivotTable tabId="3" name="PivotTable1"/>
  </pivotTables>
  <data>
    <olap pivotCacheId="1534874664">
      <levels count="2">
        <level uniqueName="[ماسيو].[لون المنتج].[(All)]" sourceCaption="(All)" count="0"/>
        <level uniqueName="[ماسيو].[لون المنتج].[لون المنتج]" sourceCaption="لون المنتج" count="6">
          <ranges>
            <range startItem="0">
              <i n="[ماسيو].[لون المنتج].&amp;" c="(blank)"/>
              <i n="[ماسيو].[لون المنتج].&amp;[ابيض]" c="ابيض"/>
              <i n="[ماسيو].[لون المنتج].&amp;[ازرق]" c="ازرق"/>
              <i n="[ماسيو].[لون المنتج].&amp;[اسود]" c="اسود"/>
              <i n="[ماسيو].[لون المنتج].&amp;[بنفسجى]" c="بنفسجى"/>
              <i n="[ماسيو].[لون المنتج].&amp;[رمادى]" c="رمادى"/>
            </range>
          </ranges>
        </level>
      </levels>
      <selections count="1">
        <selection n="[ماسيو].[لون المنتج].[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نصة_البيع" xr10:uid="{64A4F123-0739-42AC-9EFB-1F9037932F00}" sourceName="[ماسيو].[منصة البيع]">
  <pivotTables>
    <pivotTable tabId="3" name="TOTAL ORDERS"/>
    <pivotTable tabId="3" name="اجمالي مبيعات"/>
    <pivotTable tabId="3" name="اعلي محافظه"/>
    <pivotTable tabId="3" name="الافراد والشركات"/>
    <pivotTable tabId="3" name="اللون الاكثر مبيعا"/>
    <pivotTable tabId="3" name="المنتج الاكثر مبيعا"/>
    <pivotTable tabId="3" name="المنتجات المباعه حسب منصه"/>
    <pivotTable tabId="3" name="متوسط سعر البيع"/>
    <pivotTable tabId="3" name="نسبه الطلبات"/>
    <pivotTable tabId="3" name="PivotTable1"/>
  </pivotTables>
  <data>
    <olap pivotCacheId="1534874664">
      <levels count="2">
        <level uniqueName="[ماسيو].[منصة البيع].[(All)]" sourceCaption="(All)" count="0"/>
        <level uniqueName="[ماسيو].[منصة البيع].[منصة البيع]" sourceCaption="منصة البيع" count="8">
          <ranges>
            <range startItem="0">
              <i n="[ماسيو].[منصة البيع].&amp;[السويس]" c="السويس"/>
              <i n="[ماسيو].[منصة البيع].&amp;[اوسكار ريتن]" c="اوسكار ريتن"/>
              <i n="[ماسيو].[منصة البيع].&amp;[تاكى]" c="تاكى"/>
              <i n="[ماسيو].[منصة البيع].&amp;[شيك هومز]" c="شيك هومز"/>
              <i n="[ماسيو].[منصة البيع].&amp;[فيسبوك]" c="فيسبوك"/>
              <i n="[ماسيو].[منصة البيع].&amp;[كيمت]" c="كيمت"/>
              <i n="[ماسيو].[منصة البيع].&amp;[منزلى]" c="منزلى"/>
              <i n="[ماسيو].[منصة البيع].&amp;[هومزمارت]" c="هومزمارت"/>
            </range>
          </ranges>
        </level>
      </levels>
      <selections count="1">
        <selection n="[ماسيو].[منصة البيع].[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المحافظه" xr10:uid="{38A6B98F-CBA2-40D8-A95A-799E98E9D6E2}" cache="Slicer_المحافظه" caption="المحافظه" columnCount="2" level="1" style="SlicerStyleLight1 2" rowHeight="241300"/>
  <slicer name="لون المنتج" xr10:uid="{9C48D61B-DC06-41D3-9AF7-20CDD80610A2}" cache="Slicer_لون_المنتج" caption="لون المنتج" columnCount="3" level="1" style="SlicerStyleLight1 2" rowHeight="241300"/>
  <slicer name="منصة البيع" xr10:uid="{6D612112-432A-4611-916F-7C3659A398DC}" cache="Slicer_منصة_البيع" caption="منصة البيع" columnCount="2" level="1"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4BF530D-9F57-4B05-AAE2-565A4BFB9EC3}" name="ماسيو" displayName="ماسيو" ref="A1:W127" tableType="queryTable" totalsRowShown="0">
  <autoFilter ref="A1:W127" xr:uid="{44BF530D-9F57-4B05-AAE2-565A4BFB9EC3}"/>
  <tableColumns count="23">
    <tableColumn id="1" xr3:uid="{9408B654-D86E-4966-B1DE-84101567AB46}" uniqueName="1" name="أسم العميل" queryTableFieldId="1" dataDxfId="31"/>
    <tableColumn id="2" xr3:uid="{19DF4FE0-B33A-4072-84EC-F7151A96D6DA}" uniqueName="2" name="نوع العميل" queryTableFieldId="2" dataDxfId="30"/>
    <tableColumn id="3" xr3:uid="{796EAD7B-1930-4666-AA01-DFD1AB59F6FA}" uniqueName="3" name="العنوان" queryTableFieldId="3" dataDxfId="29"/>
    <tableColumn id="4" xr3:uid="{EA8D1B44-E853-439C-8B91-D409D3E81456}" uniqueName="4" name="المحافظه" queryTableFieldId="4" dataDxfId="28"/>
    <tableColumn id="5" xr3:uid="{A0D67096-0B09-4E74-BCBC-BA7501F35D08}" uniqueName="5" name="منصة البيع" queryTableFieldId="5" dataDxfId="27"/>
    <tableColumn id="6" xr3:uid="{1FA63F36-AF0F-4415-941D-7941DAA0B604}" uniqueName="6" name="الصنف" queryTableFieldId="6" dataDxfId="26"/>
    <tableColumn id="7" xr3:uid="{CC5041A2-2784-4F19-AD1A-0AF78608A775}" uniqueName="7" name="النوع" queryTableFieldId="7" dataDxfId="25"/>
    <tableColumn id="8" xr3:uid="{7F800C12-B666-4686-BEFE-EF21105935B0}" uniqueName="8" name="الاسم" queryTableFieldId="8" dataDxfId="24"/>
    <tableColumn id="12" xr3:uid="{FFD37F43-BF59-4402-9767-057A590E4F2B}" uniqueName="12" name="المنتج" queryTableFieldId="12" dataDxfId="23"/>
    <tableColumn id="10" xr3:uid="{F011E229-E479-45F0-82C8-DDBC734FD015}" uniqueName="10" name="لون المنتج" queryTableFieldId="10" dataDxfId="22"/>
    <tableColumn id="9" xr3:uid="{6ED42545-86DF-4346-B192-B65594A335C4}" uniqueName="9" name="المقاس" queryTableFieldId="9" dataDxfId="21"/>
    <tableColumn id="11" xr3:uid="{E360A988-AC66-41E9-B583-703C6764D732}" uniqueName="11" name="لون القماش" queryTableFieldId="11" dataDxfId="20"/>
    <tableColumn id="13" xr3:uid="{49752636-7708-4139-BF81-CC553B2A898F}" uniqueName="13" name="سعر البيع" queryTableFieldId="13"/>
    <tableColumn id="14" xr3:uid="{B13A1DCB-8B91-433E-900C-E5BCA0C0EFD8}" uniqueName="14" name="طريقه الدفع" queryTableFieldId="14" dataDxfId="19"/>
    <tableColumn id="15" xr3:uid="{0AFF3328-DDF4-443E-A647-7BACD41F5804}" uniqueName="15" name="نوع الدفع" queryTableFieldId="15" dataDxfId="18"/>
    <tableColumn id="16" xr3:uid="{D31CE2A0-190A-4674-8852-04377F6E1C4D}" uniqueName="16" name="ميعاد الطلب" queryTableFieldId="16" dataDxfId="17"/>
    <tableColumn id="17" xr3:uid="{900A2C11-EA8A-4C42-881B-227383426F2E}" uniqueName="17" name="ميعاد التسليم" queryTableFieldId="17" dataDxfId="16"/>
    <tableColumn id="18" xr3:uid="{AA3FC522-9C3D-4074-901C-7C1298D1C007}" uniqueName="18" name="تاريخ التسليم" queryTableFieldId="18" dataDxfId="15"/>
    <tableColumn id="19" xr3:uid="{19BADCAC-E224-46D0-BD9D-221BF712CF62}" uniqueName="19" name="المسئول عن التسليم" queryTableFieldId="19" dataDxfId="14"/>
    <tableColumn id="20" xr3:uid="{AF28100A-ECA0-4E65-8BA6-426199AC0047}" uniqueName="20" name="الحالة" queryTableFieldId="20" dataDxfId="13"/>
    <tableColumn id="21" xr3:uid="{7ACCCCFC-6DDC-49AD-B040-717A6C11B608}" uniqueName="21" name="مده التسليم (الهدف)" queryTableFieldId="21"/>
    <tableColumn id="22" xr3:uid="{2178D934-6E26-474D-9441-4C3BD9C43335}" uniqueName="22" name="مده التسليم (الفعلي)" queryTableFieldId="22"/>
    <tableColumn id="23" xr3:uid="{3A128C5A-CE7F-4824-B5F9-8CDF990F5E96}" uniqueName="23" name="حاله التوصيل" queryTableFieldId="23" dataDxf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E302BD-7664-4ACF-9623-CA8F611DA29A}" name="Table1" displayName="Table1" ref="A1:W127" totalsRowShown="0">
  <autoFilter ref="A1:W127" xr:uid="{0DE302BD-7664-4ACF-9623-CA8F611DA29A}"/>
  <tableColumns count="23">
    <tableColumn id="1" xr3:uid="{885108F0-7F50-4E5D-A4C0-343837B34ABA}" name="أسم العميل"/>
    <tableColumn id="2" xr3:uid="{BC4DD617-0F3B-4A1A-9DC2-993712DE29C2}" name="نوع العميل"/>
    <tableColumn id="3" xr3:uid="{8594D308-08A9-4A15-9E84-D3E040A79012}" name="العنوان"/>
    <tableColumn id="4" xr3:uid="{B68C0001-75AA-4815-9AB4-08658543A12F}" name="المحافظه"/>
    <tableColumn id="5" xr3:uid="{B54F1A6E-3B97-426B-96A5-A6CA1C6D9FC8}" name="منصة البيع"/>
    <tableColumn id="6" xr3:uid="{38EF1E55-34FD-419B-AA9C-B08DF1CF1EE9}" name="الصنف"/>
    <tableColumn id="7" xr3:uid="{1B42D6E8-45A6-41B3-8490-A0E73A9CF6FC}" name="النوع"/>
    <tableColumn id="8" xr3:uid="{5F6BB89F-60F1-41CC-9443-2977708AF06F}" name="الاسم"/>
    <tableColumn id="9" xr3:uid="{81F0167E-3573-45AC-A979-93B8A7BD0A36}" name="المقاس"/>
    <tableColumn id="10" xr3:uid="{5E6AD406-0123-4781-987B-7247EB30B21F}" name="لون المنتج"/>
    <tableColumn id="11" xr3:uid="{053E2A2C-D2F2-4848-835B-AE6DE2B88EB4}" name="لون القماش"/>
    <tableColumn id="12" xr3:uid="{C65918EC-458C-4ABB-9560-E1A439464B8C}" name="المنتج"/>
    <tableColumn id="13" xr3:uid="{BDAAD324-F58B-4329-92D6-D52D0058E78F}" name="سعر البيع"/>
    <tableColumn id="14" xr3:uid="{8F2CEF43-6F12-4A7E-99F6-578547467CB1}" name="طريقه الدفع"/>
    <tableColumn id="15" xr3:uid="{49B778DC-1842-45ED-9960-AE71ADC86818}" name="نوع الدفع"/>
    <tableColumn id="16" xr3:uid="{F578C6B2-0326-4591-96BA-9324B494FC1E}" name="ميعاد الطلب"/>
    <tableColumn id="17" xr3:uid="{EE3D348D-8921-49ED-A817-02CFA7C2974B}" name="ميعاد التسليم"/>
    <tableColumn id="18" xr3:uid="{446E5217-5958-4AD4-B8CE-F703505F7193}" name="تاريخ التسليم"/>
    <tableColumn id="19" xr3:uid="{AFFEB299-7F6D-4B0D-BB59-EB05C23899CE}" name="المسئول عن التسليم"/>
    <tableColumn id="20" xr3:uid="{4FFBB482-64BB-4DE8-97A9-DC4699F48696}" name="الحالة"/>
    <tableColumn id="21" xr3:uid="{39A70D57-A2DA-4780-AEB0-3373EC9BF223}" name="مده التسليم (الهدف)"/>
    <tableColumn id="22" xr3:uid="{5AE4DAB6-66B9-4AE9-8AA5-677E165365EC}" name="مده التسليم (الفعلي)"/>
    <tableColumn id="23" xr3:uid="{8E38C026-701C-4427-9512-AFA672935B77}" name="حاله التوصيل"/>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552CE-E572-41EC-9247-D3B24E5E5BA3}">
  <sheetPr codeName="Sheet1"/>
  <dimension ref="B1:R57"/>
  <sheetViews>
    <sheetView topLeftCell="A19" zoomScale="85" zoomScaleNormal="85" workbookViewId="0">
      <selection activeCell="I39" sqref="I39"/>
    </sheetView>
  </sheetViews>
  <sheetFormatPr defaultRowHeight="15" x14ac:dyDescent="0.25"/>
  <cols>
    <col min="2" max="2" width="13.28515625" bestFit="1" customWidth="1"/>
    <col min="3" max="3" width="14.5703125" bestFit="1" customWidth="1"/>
    <col min="4" max="4" width="13.85546875" bestFit="1" customWidth="1"/>
    <col min="5" max="5" width="16.28515625" bestFit="1" customWidth="1"/>
    <col min="6" max="6" width="13.28515625" bestFit="1" customWidth="1"/>
    <col min="7" max="7" width="16.85546875" bestFit="1" customWidth="1"/>
    <col min="8" max="8" width="18.5703125" bestFit="1" customWidth="1"/>
    <col min="9" max="9" width="11.85546875" customWidth="1"/>
    <col min="10" max="10" width="13.28515625" bestFit="1" customWidth="1"/>
    <col min="11" max="11" width="28.5703125" bestFit="1" customWidth="1"/>
    <col min="12" max="12" width="16.28515625" bestFit="1" customWidth="1"/>
    <col min="13" max="13" width="5.5703125" bestFit="1" customWidth="1"/>
    <col min="14" max="14" width="13.28515625" bestFit="1" customWidth="1"/>
    <col min="15" max="15" width="17.28515625" bestFit="1" customWidth="1"/>
    <col min="16" max="16" width="17.7109375" bestFit="1" customWidth="1"/>
    <col min="17" max="76" width="16.28515625" bestFit="1" customWidth="1"/>
    <col min="77" max="77" width="11.28515625" bestFit="1" customWidth="1"/>
  </cols>
  <sheetData>
    <row r="1" spans="2:18" x14ac:dyDescent="0.25">
      <c r="B1" s="5" t="s">
        <v>317</v>
      </c>
      <c r="F1" s="5" t="s">
        <v>320</v>
      </c>
      <c r="H1" s="5" t="s">
        <v>322</v>
      </c>
      <c r="K1" s="5" t="s">
        <v>324</v>
      </c>
      <c r="O1" s="5" t="s">
        <v>332</v>
      </c>
    </row>
    <row r="2" spans="2:18" x14ac:dyDescent="0.25">
      <c r="B2" s="3" t="s">
        <v>19</v>
      </c>
      <c r="C2" t="s" vm="1">
        <v>319</v>
      </c>
      <c r="F2" t="s">
        <v>321</v>
      </c>
      <c r="H2" t="s">
        <v>323</v>
      </c>
      <c r="K2" s="3" t="s">
        <v>326</v>
      </c>
      <c r="L2" t="s">
        <v>325</v>
      </c>
      <c r="O2" s="3" t="s">
        <v>326</v>
      </c>
      <c r="P2" t="s">
        <v>333</v>
      </c>
      <c r="R2" t="str">
        <f>O3</f>
        <v>القاهرة</v>
      </c>
    </row>
    <row r="3" spans="2:18" x14ac:dyDescent="0.25">
      <c r="F3" s="4">
        <v>126</v>
      </c>
      <c r="H3" s="4">
        <v>10260.998535238095</v>
      </c>
      <c r="K3" s="6" t="s">
        <v>27</v>
      </c>
      <c r="L3" s="7">
        <v>78</v>
      </c>
      <c r="O3" s="6" t="s">
        <v>72</v>
      </c>
      <c r="P3" s="4">
        <v>56</v>
      </c>
    </row>
    <row r="4" spans="2:18" x14ac:dyDescent="0.25">
      <c r="B4" t="s">
        <v>318</v>
      </c>
      <c r="K4" s="6" t="s">
        <v>64</v>
      </c>
      <c r="L4" s="7">
        <v>16</v>
      </c>
      <c r="O4" s="6" t="s">
        <v>26</v>
      </c>
      <c r="P4" s="4">
        <v>24</v>
      </c>
    </row>
    <row r="5" spans="2:18" x14ac:dyDescent="0.25">
      <c r="B5" s="4">
        <v>1037178.90544</v>
      </c>
      <c r="K5" s="6" t="s">
        <v>107</v>
      </c>
      <c r="L5" s="7">
        <v>13</v>
      </c>
      <c r="O5" s="6" t="s">
        <v>204</v>
      </c>
      <c r="P5" s="4">
        <v>13</v>
      </c>
    </row>
    <row r="6" spans="2:18" x14ac:dyDescent="0.25">
      <c r="K6" s="6" t="s">
        <v>80</v>
      </c>
      <c r="L6" s="7">
        <v>9</v>
      </c>
      <c r="O6" s="6" t="s">
        <v>205</v>
      </c>
      <c r="P6" s="4">
        <v>8</v>
      </c>
    </row>
    <row r="7" spans="2:18" x14ac:dyDescent="0.25">
      <c r="K7" s="6" t="s">
        <v>167</v>
      </c>
      <c r="L7" s="7">
        <v>4</v>
      </c>
      <c r="O7" s="6" t="s">
        <v>167</v>
      </c>
      <c r="P7" s="4">
        <v>8</v>
      </c>
    </row>
    <row r="8" spans="2:18" x14ac:dyDescent="0.25">
      <c r="B8" s="4">
        <f>B5</f>
        <v>1037178.90544</v>
      </c>
      <c r="K8" s="6" t="s">
        <v>73</v>
      </c>
      <c r="L8" s="7">
        <v>3</v>
      </c>
      <c r="O8" s="6" t="s">
        <v>133</v>
      </c>
      <c r="P8" s="4">
        <v>6</v>
      </c>
    </row>
    <row r="9" spans="2:18" x14ac:dyDescent="0.25">
      <c r="F9" s="4">
        <f>F3</f>
        <v>126</v>
      </c>
      <c r="H9" s="4">
        <f>H3</f>
        <v>10260.998535238095</v>
      </c>
      <c r="K9" s="6" t="s">
        <v>240</v>
      </c>
      <c r="L9" s="7">
        <v>2</v>
      </c>
      <c r="O9" s="6" t="s">
        <v>37</v>
      </c>
      <c r="P9" s="4">
        <v>5</v>
      </c>
    </row>
    <row r="10" spans="2:18" x14ac:dyDescent="0.25">
      <c r="K10" s="6" t="s">
        <v>246</v>
      </c>
      <c r="L10" s="7">
        <v>1</v>
      </c>
      <c r="O10" s="6" t="s">
        <v>54</v>
      </c>
      <c r="P10" s="4">
        <v>3</v>
      </c>
    </row>
    <row r="11" spans="2:18" x14ac:dyDescent="0.25">
      <c r="O11" s="6" t="s">
        <v>44</v>
      </c>
      <c r="P11" s="4">
        <v>2</v>
      </c>
    </row>
    <row r="12" spans="2:18" x14ac:dyDescent="0.25">
      <c r="O12" s="6" t="s">
        <v>196</v>
      </c>
      <c r="P12" s="4">
        <v>1</v>
      </c>
    </row>
    <row r="20" spans="2:17" ht="15.75" x14ac:dyDescent="0.25">
      <c r="P20" s="2"/>
      <c r="Q20" s="2"/>
    </row>
    <row r="21" spans="2:17" ht="15.75" x14ac:dyDescent="0.25">
      <c r="P21" s="2"/>
      <c r="Q21" s="2"/>
    </row>
    <row r="22" spans="2:17" ht="15.75" x14ac:dyDescent="0.25">
      <c r="P22" s="2"/>
      <c r="Q22" s="2"/>
    </row>
    <row r="23" spans="2:17" ht="15.75" x14ac:dyDescent="0.25">
      <c r="P23" s="2"/>
      <c r="Q23" s="2"/>
    </row>
    <row r="24" spans="2:17" ht="15.75" x14ac:dyDescent="0.25">
      <c r="P24" s="2"/>
      <c r="Q24" s="2"/>
    </row>
    <row r="25" spans="2:17" ht="15.75" x14ac:dyDescent="0.25">
      <c r="B25" s="5" t="s">
        <v>327</v>
      </c>
      <c r="P25" s="2"/>
    </row>
    <row r="26" spans="2:17" x14ac:dyDescent="0.25">
      <c r="B26" s="3" t="s">
        <v>326</v>
      </c>
      <c r="C26" t="s">
        <v>335</v>
      </c>
      <c r="F26" s="5" t="s">
        <v>328</v>
      </c>
    </row>
    <row r="27" spans="2:17" ht="15.75" x14ac:dyDescent="0.25">
      <c r="B27" s="6" t="s">
        <v>28</v>
      </c>
      <c r="C27" s="4">
        <v>88</v>
      </c>
      <c r="F27" s="3" t="s">
        <v>326</v>
      </c>
      <c r="G27" t="s">
        <v>329</v>
      </c>
      <c r="J27" s="5" t="s">
        <v>330</v>
      </c>
      <c r="N27" s="5" t="s">
        <v>316</v>
      </c>
      <c r="Q27" s="2"/>
    </row>
    <row r="28" spans="2:17" x14ac:dyDescent="0.25">
      <c r="F28" s="6" t="s">
        <v>30</v>
      </c>
      <c r="G28" s="4">
        <v>21</v>
      </c>
      <c r="J28" s="3" t="s">
        <v>326</v>
      </c>
      <c r="K28" t="s">
        <v>331</v>
      </c>
      <c r="N28" s="3" t="s">
        <v>326</v>
      </c>
      <c r="O28" t="s">
        <v>334</v>
      </c>
    </row>
    <row r="29" spans="2:17" x14ac:dyDescent="0.25">
      <c r="F29" s="6" t="s">
        <v>48</v>
      </c>
      <c r="G29" s="4">
        <v>2</v>
      </c>
      <c r="J29" s="6" t="s">
        <v>57</v>
      </c>
      <c r="K29" s="8">
        <v>0.44444444444444442</v>
      </c>
      <c r="N29" s="6" t="s">
        <v>24</v>
      </c>
      <c r="O29" s="4">
        <v>91</v>
      </c>
    </row>
    <row r="30" spans="2:17" x14ac:dyDescent="0.25">
      <c r="F30" s="6" t="s">
        <v>38</v>
      </c>
      <c r="G30" s="4">
        <v>16</v>
      </c>
      <c r="J30" s="6" t="s">
        <v>69</v>
      </c>
      <c r="K30" s="8">
        <v>0.55555555555555558</v>
      </c>
      <c r="N30" s="6" t="s">
        <v>65</v>
      </c>
      <c r="O30" s="4">
        <v>35</v>
      </c>
    </row>
    <row r="31" spans="2:17" x14ac:dyDescent="0.25">
      <c r="F31" s="6" t="s">
        <v>172</v>
      </c>
      <c r="G31" s="4">
        <v>1</v>
      </c>
    </row>
    <row r="32" spans="2:17" x14ac:dyDescent="0.25">
      <c r="F32" s="6" t="s">
        <v>61</v>
      </c>
      <c r="G32" s="4">
        <v>7</v>
      </c>
    </row>
    <row r="33" spans="4:15" x14ac:dyDescent="0.25">
      <c r="D33" t="str">
        <f>B27</f>
        <v>سرير</v>
      </c>
      <c r="F33" t="str">
        <f>F28</f>
        <v>ابيض</v>
      </c>
      <c r="G33" s="4">
        <f>G28</f>
        <v>21</v>
      </c>
      <c r="O33" s="4">
        <f>O29</f>
        <v>91</v>
      </c>
    </row>
    <row r="34" spans="4:15" x14ac:dyDescent="0.25">
      <c r="O34" s="4">
        <f>O30</f>
        <v>35</v>
      </c>
    </row>
    <row r="39" spans="4:15" x14ac:dyDescent="0.25">
      <c r="K39" s="11" t="s">
        <v>336</v>
      </c>
    </row>
    <row r="43" spans="4:15" x14ac:dyDescent="0.25">
      <c r="K43" s="3" t="s">
        <v>331</v>
      </c>
      <c r="L43" s="3" t="s">
        <v>337</v>
      </c>
    </row>
    <row r="44" spans="4:15" x14ac:dyDescent="0.25">
      <c r="K44" s="3" t="s">
        <v>326</v>
      </c>
      <c r="L44" t="s">
        <v>57</v>
      </c>
    </row>
    <row r="45" spans="4:15" x14ac:dyDescent="0.25">
      <c r="K45" s="6" t="s">
        <v>92</v>
      </c>
      <c r="L45" s="4">
        <v>33</v>
      </c>
    </row>
    <row r="46" spans="4:15" x14ac:dyDescent="0.25">
      <c r="K46" s="6" t="s">
        <v>33</v>
      </c>
      <c r="L46" s="4">
        <v>5</v>
      </c>
    </row>
    <row r="47" spans="4:15" x14ac:dyDescent="0.25">
      <c r="K47" s="6" t="s">
        <v>218</v>
      </c>
      <c r="L47" s="4">
        <v>4</v>
      </c>
    </row>
    <row r="48" spans="4:15" x14ac:dyDescent="0.25">
      <c r="K48" s="6" t="s">
        <v>75</v>
      </c>
      <c r="L48" s="4">
        <v>1</v>
      </c>
    </row>
    <row r="49" spans="11:13" x14ac:dyDescent="0.25">
      <c r="K49" s="6" t="s">
        <v>254</v>
      </c>
      <c r="L49" s="4">
        <v>1</v>
      </c>
    </row>
    <row r="52" spans="11:13" x14ac:dyDescent="0.25">
      <c r="L52" s="4"/>
      <c r="M52" s="4"/>
    </row>
    <row r="53" spans="11:13" x14ac:dyDescent="0.25">
      <c r="L53" s="4"/>
      <c r="M53" s="4"/>
    </row>
    <row r="54" spans="11:13" x14ac:dyDescent="0.25">
      <c r="L54" s="4"/>
      <c r="M54" s="4"/>
    </row>
    <row r="55" spans="11:13" x14ac:dyDescent="0.25">
      <c r="L55" s="4"/>
      <c r="M55" s="4"/>
    </row>
    <row r="56" spans="11:13" x14ac:dyDescent="0.25">
      <c r="L56" s="4"/>
      <c r="M56" s="4"/>
    </row>
    <row r="57" spans="11:13" x14ac:dyDescent="0.25">
      <c r="L57" s="4"/>
      <c r="M57" s="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82CB0-22B3-4E9A-BD48-202C24E3E50B}">
  <sheetPr codeName="Sheet2"/>
  <dimension ref="A1"/>
  <sheetViews>
    <sheetView showGridLines="0" showRowColHeaders="0" tabSelected="1" zoomScale="90" zoomScaleNormal="90" workbookViewId="0">
      <selection activeCell="G27" sqref="G27"/>
    </sheetView>
  </sheetViews>
  <sheetFormatPr defaultRowHeight="15" x14ac:dyDescent="0.25"/>
  <cols>
    <col min="1" max="16384" width="9.140625" style="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6ED04-6343-4DCB-958E-00F3A606F072}">
  <sheetPr codeName="Sheet3"/>
  <dimension ref="A1:W127"/>
  <sheetViews>
    <sheetView rightToLeft="1" topLeftCell="F1" zoomScaleNormal="100" workbookViewId="0">
      <selection activeCell="U2" sqref="U2:U3"/>
    </sheetView>
  </sheetViews>
  <sheetFormatPr defaultRowHeight="15" x14ac:dyDescent="0.25"/>
  <cols>
    <col min="1" max="1" width="15.5703125" bestFit="1" customWidth="1"/>
    <col min="2" max="2" width="11.28515625" bestFit="1" customWidth="1"/>
    <col min="3" max="3" width="31" bestFit="1" customWidth="1"/>
    <col min="4" max="4" width="10.42578125" bestFit="1" customWidth="1"/>
    <col min="5" max="5" width="11.5703125" bestFit="1" customWidth="1"/>
    <col min="6" max="6" width="8.7109375" bestFit="1" customWidth="1"/>
    <col min="7" max="7" width="8.85546875" bestFit="1" customWidth="1"/>
    <col min="8" max="8" width="7.7109375" bestFit="1" customWidth="1"/>
    <col min="9" max="9" width="37.28515625" bestFit="1" customWidth="1"/>
    <col min="10" max="10" width="11" bestFit="1" customWidth="1"/>
    <col min="11" max="11" width="8.7109375" bestFit="1" customWidth="1"/>
    <col min="12" max="12" width="13.5703125" bestFit="1" customWidth="1"/>
    <col min="13" max="13" width="11" bestFit="1" customWidth="1"/>
    <col min="14" max="14" width="12.5703125" bestFit="1" customWidth="1"/>
    <col min="15" max="15" width="10.42578125" bestFit="1" customWidth="1"/>
    <col min="16" max="16" width="12.5703125" style="10" bestFit="1" customWidth="1"/>
    <col min="17" max="18" width="13.28515625" style="10" bestFit="1" customWidth="1"/>
    <col min="19" max="19" width="28.5703125" bestFit="1" customWidth="1"/>
    <col min="20" max="20" width="10" bestFit="1" customWidth="1"/>
    <col min="21" max="21" width="18.85546875" bestFit="1" customWidth="1"/>
    <col min="22" max="22" width="18.7109375" bestFit="1" customWidth="1"/>
    <col min="23" max="23" width="13.42578125" bestFit="1" customWidth="1"/>
  </cols>
  <sheetData>
    <row r="1" spans="1:23" x14ac:dyDescent="0.25">
      <c r="A1" t="s">
        <v>0</v>
      </c>
      <c r="B1" t="s">
        <v>1</v>
      </c>
      <c r="C1" t="s">
        <v>2</v>
      </c>
      <c r="D1" t="s">
        <v>3</v>
      </c>
      <c r="E1" t="s">
        <v>4</v>
      </c>
      <c r="F1" t="s">
        <v>5</v>
      </c>
      <c r="G1" t="s">
        <v>6</v>
      </c>
      <c r="H1" t="s">
        <v>7</v>
      </c>
      <c r="I1" t="s">
        <v>11</v>
      </c>
      <c r="J1" t="s">
        <v>9</v>
      </c>
      <c r="K1" t="s">
        <v>8</v>
      </c>
      <c r="L1" t="s">
        <v>10</v>
      </c>
      <c r="M1" t="s">
        <v>12</v>
      </c>
      <c r="N1" t="s">
        <v>13</v>
      </c>
      <c r="O1" t="s">
        <v>14</v>
      </c>
      <c r="P1" s="10" t="s">
        <v>15</v>
      </c>
      <c r="Q1" s="10" t="s">
        <v>16</v>
      </c>
      <c r="R1" s="10" t="s">
        <v>17</v>
      </c>
      <c r="S1" t="s">
        <v>18</v>
      </c>
      <c r="T1" t="s">
        <v>19</v>
      </c>
      <c r="U1" t="s">
        <v>20</v>
      </c>
      <c r="V1" t="s">
        <v>21</v>
      </c>
      <c r="W1" t="s">
        <v>22</v>
      </c>
    </row>
    <row r="2" spans="1:23" x14ac:dyDescent="0.25">
      <c r="A2" s="1" t="s">
        <v>23</v>
      </c>
      <c r="B2" s="1" t="s">
        <v>24</v>
      </c>
      <c r="C2" s="1" t="s">
        <v>25</v>
      </c>
      <c r="D2" s="1" t="s">
        <v>26</v>
      </c>
      <c r="E2" s="1" t="s">
        <v>27</v>
      </c>
      <c r="F2" s="1" t="s">
        <v>28</v>
      </c>
      <c r="G2" s="1" t="s">
        <v>29</v>
      </c>
      <c r="H2" s="1"/>
      <c r="I2" s="1" t="s">
        <v>31</v>
      </c>
      <c r="J2" s="1" t="s">
        <v>30</v>
      </c>
      <c r="K2" s="1"/>
      <c r="L2" s="1"/>
      <c r="M2">
        <v>10160</v>
      </c>
      <c r="N2" s="1" t="s">
        <v>32</v>
      </c>
      <c r="O2" s="1" t="s">
        <v>32</v>
      </c>
      <c r="P2" s="10">
        <v>45500</v>
      </c>
      <c r="R2" s="10">
        <v>45514</v>
      </c>
      <c r="S2" s="1" t="s">
        <v>33</v>
      </c>
      <c r="T2" s="1" t="s">
        <v>34</v>
      </c>
      <c r="U2">
        <v>0</v>
      </c>
      <c r="V2">
        <v>14</v>
      </c>
      <c r="W2" s="1"/>
    </row>
    <row r="3" spans="1:23" x14ac:dyDescent="0.25">
      <c r="A3" s="1" t="s">
        <v>35</v>
      </c>
      <c r="B3" s="1" t="s">
        <v>24</v>
      </c>
      <c r="C3" s="1" t="s">
        <v>36</v>
      </c>
      <c r="D3" s="1" t="s">
        <v>37</v>
      </c>
      <c r="E3" s="1" t="s">
        <v>27</v>
      </c>
      <c r="F3" s="1" t="s">
        <v>28</v>
      </c>
      <c r="G3" s="1" t="s">
        <v>29</v>
      </c>
      <c r="H3" s="1"/>
      <c r="I3" s="1" t="s">
        <v>39</v>
      </c>
      <c r="J3" s="1" t="s">
        <v>38</v>
      </c>
      <c r="K3" s="1"/>
      <c r="L3" s="1"/>
      <c r="M3">
        <v>10160</v>
      </c>
      <c r="N3" s="1" t="s">
        <v>40</v>
      </c>
      <c r="O3" s="1" t="s">
        <v>41</v>
      </c>
      <c r="P3" s="10">
        <v>45501</v>
      </c>
      <c r="R3" s="10">
        <v>45515</v>
      </c>
      <c r="S3" s="1" t="s">
        <v>33</v>
      </c>
      <c r="T3" s="1" t="s">
        <v>34</v>
      </c>
      <c r="U3">
        <v>0</v>
      </c>
      <c r="V3">
        <v>14</v>
      </c>
      <c r="W3" s="1"/>
    </row>
    <row r="4" spans="1:23" x14ac:dyDescent="0.25">
      <c r="A4" s="1" t="s">
        <v>42</v>
      </c>
      <c r="B4" s="1" t="s">
        <v>24</v>
      </c>
      <c r="C4" s="1" t="s">
        <v>43</v>
      </c>
      <c r="D4" s="1" t="s">
        <v>44</v>
      </c>
      <c r="E4" s="1" t="s">
        <v>27</v>
      </c>
      <c r="F4" s="1" t="s">
        <v>28</v>
      </c>
      <c r="G4" s="1" t="s">
        <v>45</v>
      </c>
      <c r="H4" s="1" t="s">
        <v>46</v>
      </c>
      <c r="I4" s="1" t="s">
        <v>49</v>
      </c>
      <c r="J4" s="1" t="s">
        <v>48</v>
      </c>
      <c r="K4" s="1" t="s">
        <v>47</v>
      </c>
      <c r="L4" s="1"/>
      <c r="M4">
        <v>11455</v>
      </c>
      <c r="N4" s="1" t="s">
        <v>50</v>
      </c>
      <c r="O4" s="1" t="s">
        <v>41</v>
      </c>
      <c r="P4" s="10">
        <v>45500</v>
      </c>
      <c r="S4" s="1" t="s">
        <v>51</v>
      </c>
      <c r="T4" s="1" t="s">
        <v>51</v>
      </c>
      <c r="U4">
        <v>0</v>
      </c>
      <c r="V4">
        <v>0</v>
      </c>
      <c r="W4" s="1"/>
    </row>
    <row r="5" spans="1:23" x14ac:dyDescent="0.25">
      <c r="A5" s="1" t="s">
        <v>52</v>
      </c>
      <c r="B5" s="1" t="s">
        <v>24</v>
      </c>
      <c r="C5" s="1" t="s">
        <v>53</v>
      </c>
      <c r="D5" s="1" t="s">
        <v>54</v>
      </c>
      <c r="E5" s="1" t="s">
        <v>27</v>
      </c>
      <c r="F5" s="1" t="s">
        <v>257</v>
      </c>
      <c r="G5" s="1"/>
      <c r="H5" s="1"/>
      <c r="I5" s="1" t="s">
        <v>56</v>
      </c>
      <c r="J5" s="1"/>
      <c r="K5" s="1"/>
      <c r="L5" s="1"/>
      <c r="M5">
        <v>8642</v>
      </c>
      <c r="N5" s="1" t="s">
        <v>32</v>
      </c>
      <c r="O5" s="1" t="s">
        <v>32</v>
      </c>
      <c r="P5" s="10">
        <v>45529</v>
      </c>
      <c r="Q5" s="10">
        <v>45542</v>
      </c>
      <c r="R5" s="10">
        <v>45531</v>
      </c>
      <c r="S5" s="1" t="s">
        <v>33</v>
      </c>
      <c r="T5" s="1" t="s">
        <v>34</v>
      </c>
      <c r="U5">
        <v>13</v>
      </c>
      <c r="V5">
        <v>2</v>
      </c>
      <c r="W5" s="1" t="s">
        <v>57</v>
      </c>
    </row>
    <row r="6" spans="1:23" x14ac:dyDescent="0.25">
      <c r="A6" s="1" t="s">
        <v>58</v>
      </c>
      <c r="B6" s="1" t="s">
        <v>24</v>
      </c>
      <c r="C6" s="1" t="s">
        <v>43</v>
      </c>
      <c r="D6" s="1" t="s">
        <v>44</v>
      </c>
      <c r="E6" s="1" t="s">
        <v>27</v>
      </c>
      <c r="F6" s="1" t="s">
        <v>28</v>
      </c>
      <c r="G6" s="1" t="s">
        <v>45</v>
      </c>
      <c r="H6" s="1" t="s">
        <v>59</v>
      </c>
      <c r="I6" s="1" t="s">
        <v>62</v>
      </c>
      <c r="J6" s="1" t="s">
        <v>61</v>
      </c>
      <c r="K6" s="1" t="s">
        <v>60</v>
      </c>
      <c r="L6" s="1"/>
      <c r="M6">
        <v>12833</v>
      </c>
      <c r="N6" s="1" t="s">
        <v>63</v>
      </c>
      <c r="O6" s="1" t="s">
        <v>41</v>
      </c>
      <c r="P6" s="10">
        <v>45520</v>
      </c>
      <c r="Q6" s="10">
        <v>45535</v>
      </c>
      <c r="S6" s="1" t="s">
        <v>51</v>
      </c>
      <c r="T6" s="1" t="s">
        <v>51</v>
      </c>
      <c r="U6">
        <v>15</v>
      </c>
      <c r="V6">
        <v>0</v>
      </c>
      <c r="W6" s="1"/>
    </row>
    <row r="7" spans="1:23" x14ac:dyDescent="0.25">
      <c r="A7" s="1" t="s">
        <v>64</v>
      </c>
      <c r="B7" s="1" t="s">
        <v>65</v>
      </c>
      <c r="C7" s="1"/>
      <c r="D7" s="1" t="s">
        <v>205</v>
      </c>
      <c r="E7" s="1" t="s">
        <v>64</v>
      </c>
      <c r="F7" s="1" t="s">
        <v>231</v>
      </c>
      <c r="G7" s="1" t="s">
        <v>67</v>
      </c>
      <c r="H7" s="1"/>
      <c r="I7" s="1" t="s">
        <v>68</v>
      </c>
      <c r="J7" s="1" t="s">
        <v>61</v>
      </c>
      <c r="K7" s="1"/>
      <c r="L7" s="1"/>
      <c r="M7">
        <v>14550</v>
      </c>
      <c r="N7" s="1" t="s">
        <v>32</v>
      </c>
      <c r="O7" s="1" t="s">
        <v>32</v>
      </c>
      <c r="P7" s="10">
        <v>45518</v>
      </c>
      <c r="Q7" s="10">
        <v>45538</v>
      </c>
      <c r="R7" s="10">
        <v>45540</v>
      </c>
      <c r="S7" s="1" t="s">
        <v>33</v>
      </c>
      <c r="T7" s="1" t="s">
        <v>34</v>
      </c>
      <c r="U7">
        <v>20</v>
      </c>
      <c r="V7">
        <v>22</v>
      </c>
      <c r="W7" s="1" t="s">
        <v>69</v>
      </c>
    </row>
    <row r="8" spans="1:23" x14ac:dyDescent="0.25">
      <c r="A8" s="1" t="s">
        <v>70</v>
      </c>
      <c r="B8" s="1" t="s">
        <v>24</v>
      </c>
      <c r="C8" s="1" t="s">
        <v>71</v>
      </c>
      <c r="D8" s="1" t="s">
        <v>72</v>
      </c>
      <c r="E8" s="1" t="s">
        <v>73</v>
      </c>
      <c r="F8" s="1" t="s">
        <v>231</v>
      </c>
      <c r="G8" s="1" t="s">
        <v>67</v>
      </c>
      <c r="H8" s="1"/>
      <c r="I8" s="1" t="s">
        <v>68</v>
      </c>
      <c r="J8" s="1" t="s">
        <v>61</v>
      </c>
      <c r="K8" s="1"/>
      <c r="L8" s="1"/>
      <c r="M8">
        <v>12000</v>
      </c>
      <c r="N8" s="1" t="s">
        <v>74</v>
      </c>
      <c r="O8" s="1" t="s">
        <v>41</v>
      </c>
      <c r="P8" s="10">
        <v>45521</v>
      </c>
      <c r="Q8" s="10">
        <v>45524</v>
      </c>
      <c r="R8" s="10">
        <v>45523</v>
      </c>
      <c r="S8" s="1" t="s">
        <v>75</v>
      </c>
      <c r="T8" s="1" t="s">
        <v>34</v>
      </c>
      <c r="U8">
        <v>3</v>
      </c>
      <c r="V8">
        <v>2</v>
      </c>
      <c r="W8" s="1" t="s">
        <v>57</v>
      </c>
    </row>
    <row r="9" spans="1:23" x14ac:dyDescent="0.25">
      <c r="A9" s="1" t="s">
        <v>76</v>
      </c>
      <c r="B9" s="1" t="s">
        <v>24</v>
      </c>
      <c r="C9" s="1" t="s">
        <v>77</v>
      </c>
      <c r="D9" s="1" t="s">
        <v>26</v>
      </c>
      <c r="E9" s="1" t="s">
        <v>27</v>
      </c>
      <c r="F9" s="1" t="s">
        <v>28</v>
      </c>
      <c r="G9" s="1" t="s">
        <v>78</v>
      </c>
      <c r="H9" s="1"/>
      <c r="I9" s="1" t="s">
        <v>79</v>
      </c>
      <c r="J9" s="1" t="s">
        <v>30</v>
      </c>
      <c r="K9" s="1"/>
      <c r="L9" s="1"/>
      <c r="M9">
        <v>7228</v>
      </c>
      <c r="N9" s="1" t="s">
        <v>32</v>
      </c>
      <c r="O9" s="1" t="s">
        <v>32</v>
      </c>
      <c r="P9" s="10">
        <v>45529</v>
      </c>
      <c r="Q9" s="10">
        <v>45538</v>
      </c>
      <c r="R9" s="10">
        <v>45545</v>
      </c>
      <c r="S9" s="1" t="s">
        <v>33</v>
      </c>
      <c r="T9" s="1" t="s">
        <v>34</v>
      </c>
      <c r="U9">
        <v>9</v>
      </c>
      <c r="V9">
        <v>16</v>
      </c>
      <c r="W9" s="1" t="s">
        <v>69</v>
      </c>
    </row>
    <row r="10" spans="1:23" x14ac:dyDescent="0.25">
      <c r="A10" s="1" t="s">
        <v>80</v>
      </c>
      <c r="B10" s="1" t="s">
        <v>65</v>
      </c>
      <c r="C10" s="1" t="s">
        <v>81</v>
      </c>
      <c r="D10" s="1" t="s">
        <v>72</v>
      </c>
      <c r="E10" s="1" t="s">
        <v>80</v>
      </c>
      <c r="F10" s="1" t="s">
        <v>82</v>
      </c>
      <c r="G10" s="1" t="s">
        <v>83</v>
      </c>
      <c r="H10" s="1"/>
      <c r="I10" s="1" t="s">
        <v>84</v>
      </c>
      <c r="J10" s="1"/>
      <c r="K10" s="1"/>
      <c r="L10" s="1"/>
      <c r="M10">
        <v>22000</v>
      </c>
      <c r="N10" s="1" t="s">
        <v>85</v>
      </c>
      <c r="O10" s="1" t="s">
        <v>41</v>
      </c>
      <c r="P10" s="10">
        <v>45523</v>
      </c>
      <c r="Q10" s="10">
        <v>45536</v>
      </c>
      <c r="R10" s="10">
        <v>45552</v>
      </c>
      <c r="S10" s="1"/>
      <c r="T10" s="1" t="s">
        <v>34</v>
      </c>
      <c r="U10">
        <v>13</v>
      </c>
      <c r="V10">
        <v>29</v>
      </c>
      <c r="W10" s="1" t="s">
        <v>69</v>
      </c>
    </row>
    <row r="11" spans="1:23" x14ac:dyDescent="0.25">
      <c r="A11" s="1" t="s">
        <v>80</v>
      </c>
      <c r="B11" s="1" t="s">
        <v>65</v>
      </c>
      <c r="C11" s="1" t="s">
        <v>81</v>
      </c>
      <c r="D11" s="1" t="s">
        <v>72</v>
      </c>
      <c r="E11" s="1" t="s">
        <v>80</v>
      </c>
      <c r="F11" s="1" t="s">
        <v>231</v>
      </c>
      <c r="G11" s="1" t="s">
        <v>86</v>
      </c>
      <c r="H11" s="1"/>
      <c r="I11" s="1" t="s">
        <v>87</v>
      </c>
      <c r="J11" s="1"/>
      <c r="K11" s="1"/>
      <c r="L11" s="1"/>
      <c r="M11">
        <v>16000</v>
      </c>
      <c r="N11" s="1" t="s">
        <v>88</v>
      </c>
      <c r="O11" s="1" t="s">
        <v>41</v>
      </c>
      <c r="S11" s="1" t="s">
        <v>89</v>
      </c>
      <c r="T11" s="1" t="s">
        <v>90</v>
      </c>
      <c r="U11">
        <v>0</v>
      </c>
      <c r="V11">
        <v>0</v>
      </c>
      <c r="W11" s="1"/>
    </row>
    <row r="12" spans="1:23" x14ac:dyDescent="0.25">
      <c r="A12" s="1" t="s">
        <v>80</v>
      </c>
      <c r="B12" s="1" t="s">
        <v>65</v>
      </c>
      <c r="C12" s="1" t="s">
        <v>81</v>
      </c>
      <c r="D12" s="1" t="s">
        <v>72</v>
      </c>
      <c r="E12" s="1" t="s">
        <v>80</v>
      </c>
      <c r="F12" s="1" t="s">
        <v>231</v>
      </c>
      <c r="G12" s="1" t="s">
        <v>86</v>
      </c>
      <c r="H12" s="1"/>
      <c r="I12" s="1" t="s">
        <v>91</v>
      </c>
      <c r="J12" s="1"/>
      <c r="K12" s="1"/>
      <c r="L12" s="1"/>
      <c r="M12">
        <v>6000</v>
      </c>
      <c r="N12" s="1" t="s">
        <v>74</v>
      </c>
      <c r="O12" s="1" t="s">
        <v>41</v>
      </c>
      <c r="P12" s="10">
        <v>45529</v>
      </c>
      <c r="Q12" s="10">
        <v>45550</v>
      </c>
      <c r="R12" s="10">
        <v>45552</v>
      </c>
      <c r="S12" s="1" t="s">
        <v>92</v>
      </c>
      <c r="T12" s="1" t="s">
        <v>34</v>
      </c>
      <c r="U12">
        <v>21</v>
      </c>
      <c r="V12">
        <v>23</v>
      </c>
      <c r="W12" s="1" t="s">
        <v>69</v>
      </c>
    </row>
    <row r="13" spans="1:23" x14ac:dyDescent="0.25">
      <c r="A13" s="1" t="s">
        <v>80</v>
      </c>
      <c r="B13" s="1" t="s">
        <v>65</v>
      </c>
      <c r="C13" s="1" t="s">
        <v>81</v>
      </c>
      <c r="D13" s="1" t="s">
        <v>72</v>
      </c>
      <c r="E13" s="1" t="s">
        <v>80</v>
      </c>
      <c r="F13" s="1" t="s">
        <v>231</v>
      </c>
      <c r="G13" s="1" t="s">
        <v>86</v>
      </c>
      <c r="H13" s="1"/>
      <c r="I13" s="1" t="s">
        <v>91</v>
      </c>
      <c r="J13" s="1"/>
      <c r="K13" s="1"/>
      <c r="L13" s="1"/>
      <c r="M13">
        <v>6000</v>
      </c>
      <c r="N13" s="1" t="s">
        <v>74</v>
      </c>
      <c r="O13" s="1" t="s">
        <v>41</v>
      </c>
      <c r="P13" s="10">
        <v>45529</v>
      </c>
      <c r="Q13" s="10">
        <v>45550</v>
      </c>
      <c r="R13" s="10">
        <v>45552</v>
      </c>
      <c r="S13" s="1" t="s">
        <v>92</v>
      </c>
      <c r="T13" s="1" t="s">
        <v>34</v>
      </c>
      <c r="U13">
        <v>21</v>
      </c>
      <c r="V13">
        <v>23</v>
      </c>
      <c r="W13" s="1" t="s">
        <v>69</v>
      </c>
    </row>
    <row r="14" spans="1:23" x14ac:dyDescent="0.25">
      <c r="A14" s="1" t="s">
        <v>93</v>
      </c>
      <c r="B14" s="1" t="s">
        <v>24</v>
      </c>
      <c r="C14" s="1" t="s">
        <v>94</v>
      </c>
      <c r="D14" s="1" t="s">
        <v>72</v>
      </c>
      <c r="E14" s="1" t="s">
        <v>27</v>
      </c>
      <c r="F14" s="1" t="s">
        <v>28</v>
      </c>
      <c r="G14" s="1" t="s">
        <v>45</v>
      </c>
      <c r="H14" s="1" t="s">
        <v>59</v>
      </c>
      <c r="I14" s="1" t="s">
        <v>96</v>
      </c>
      <c r="J14" s="1" t="s">
        <v>30</v>
      </c>
      <c r="K14" s="1" t="s">
        <v>95</v>
      </c>
      <c r="L14" s="1"/>
      <c r="M14">
        <v>10499</v>
      </c>
      <c r="N14" s="1" t="s">
        <v>97</v>
      </c>
      <c r="O14" s="1" t="s">
        <v>41</v>
      </c>
      <c r="P14" s="10">
        <v>45536</v>
      </c>
      <c r="Q14" s="10">
        <v>45551</v>
      </c>
      <c r="R14" s="10">
        <v>45543</v>
      </c>
      <c r="S14" s="1" t="s">
        <v>33</v>
      </c>
      <c r="T14" s="1" t="s">
        <v>34</v>
      </c>
      <c r="U14">
        <v>15</v>
      </c>
      <c r="V14">
        <v>7</v>
      </c>
      <c r="W14" s="1" t="s">
        <v>57</v>
      </c>
    </row>
    <row r="15" spans="1:23" x14ac:dyDescent="0.25">
      <c r="A15" s="1" t="s">
        <v>98</v>
      </c>
      <c r="B15" s="1" t="s">
        <v>24</v>
      </c>
      <c r="C15" s="1" t="s">
        <v>77</v>
      </c>
      <c r="D15" s="1" t="s">
        <v>26</v>
      </c>
      <c r="E15" s="1" t="s">
        <v>27</v>
      </c>
      <c r="F15" s="1" t="s">
        <v>28</v>
      </c>
      <c r="G15" s="1" t="s">
        <v>78</v>
      </c>
      <c r="H15" s="1" t="s">
        <v>59</v>
      </c>
      <c r="I15" s="1" t="s">
        <v>99</v>
      </c>
      <c r="J15" s="1" t="s">
        <v>30</v>
      </c>
      <c r="K15" s="1" t="s">
        <v>95</v>
      </c>
      <c r="L15" s="1"/>
      <c r="M15">
        <v>7295</v>
      </c>
      <c r="N15" s="1" t="s">
        <v>100</v>
      </c>
      <c r="O15" s="1" t="s">
        <v>41</v>
      </c>
      <c r="P15" s="10">
        <v>45540</v>
      </c>
      <c r="Q15" s="10">
        <v>45549</v>
      </c>
      <c r="S15" s="1"/>
      <c r="T15" s="1" t="s">
        <v>90</v>
      </c>
      <c r="U15">
        <v>9</v>
      </c>
      <c r="V15">
        <v>0</v>
      </c>
      <c r="W15" s="1"/>
    </row>
    <row r="16" spans="1:23" x14ac:dyDescent="0.25">
      <c r="A16" s="1" t="s">
        <v>101</v>
      </c>
      <c r="B16" s="1" t="s">
        <v>24</v>
      </c>
      <c r="C16" s="1" t="s">
        <v>102</v>
      </c>
      <c r="D16" s="1" t="s">
        <v>72</v>
      </c>
      <c r="E16" s="1" t="s">
        <v>27</v>
      </c>
      <c r="F16" s="1" t="s">
        <v>257</v>
      </c>
      <c r="G16" s="1" t="s">
        <v>103</v>
      </c>
      <c r="H16" s="1"/>
      <c r="I16" s="1" t="s">
        <v>104</v>
      </c>
      <c r="J16" s="1"/>
      <c r="K16" s="1"/>
      <c r="L16" s="1"/>
      <c r="M16">
        <v>7849</v>
      </c>
      <c r="N16" s="1" t="s">
        <v>32</v>
      </c>
      <c r="O16" s="1" t="s">
        <v>32</v>
      </c>
      <c r="P16" s="10">
        <v>45539</v>
      </c>
      <c r="Q16" s="10">
        <v>45551</v>
      </c>
      <c r="R16" s="10">
        <v>45560</v>
      </c>
      <c r="S16" s="1" t="s">
        <v>33</v>
      </c>
      <c r="T16" s="1" t="s">
        <v>105</v>
      </c>
      <c r="U16">
        <v>12</v>
      </c>
      <c r="V16">
        <v>21</v>
      </c>
      <c r="W16" s="1" t="s">
        <v>69</v>
      </c>
    </row>
    <row r="17" spans="1:23" x14ac:dyDescent="0.25">
      <c r="A17" s="1" t="s">
        <v>106</v>
      </c>
      <c r="B17" s="1" t="s">
        <v>24</v>
      </c>
      <c r="C17" s="1" t="s">
        <v>71</v>
      </c>
      <c r="D17" s="1" t="s">
        <v>72</v>
      </c>
      <c r="E17" s="1" t="s">
        <v>107</v>
      </c>
      <c r="F17" s="1" t="s">
        <v>28</v>
      </c>
      <c r="G17" s="1" t="s">
        <v>45</v>
      </c>
      <c r="H17" s="1" t="s">
        <v>46</v>
      </c>
      <c r="I17" s="1" t="s">
        <v>109</v>
      </c>
      <c r="J17" s="1" t="s">
        <v>38</v>
      </c>
      <c r="K17" s="1" t="s">
        <v>108</v>
      </c>
      <c r="L17" s="1"/>
      <c r="M17">
        <v>6180</v>
      </c>
      <c r="N17" s="1" t="s">
        <v>110</v>
      </c>
      <c r="O17" s="1" t="s">
        <v>41</v>
      </c>
      <c r="P17" s="10">
        <v>45538</v>
      </c>
      <c r="Q17" s="10">
        <v>45551</v>
      </c>
      <c r="R17" s="10">
        <v>45550</v>
      </c>
      <c r="S17" s="1" t="s">
        <v>92</v>
      </c>
      <c r="T17" s="1" t="s">
        <v>34</v>
      </c>
      <c r="U17">
        <v>13</v>
      </c>
      <c r="V17">
        <v>12</v>
      </c>
      <c r="W17" s="1" t="s">
        <v>57</v>
      </c>
    </row>
    <row r="18" spans="1:23" x14ac:dyDescent="0.25">
      <c r="A18" s="1" t="s">
        <v>106</v>
      </c>
      <c r="B18" s="1" t="s">
        <v>24</v>
      </c>
      <c r="C18" s="1" t="s">
        <v>71</v>
      </c>
      <c r="D18" s="1" t="s">
        <v>72</v>
      </c>
      <c r="E18" s="1" t="s">
        <v>107</v>
      </c>
      <c r="F18" s="1" t="s">
        <v>28</v>
      </c>
      <c r="G18" s="1" t="s">
        <v>45</v>
      </c>
      <c r="H18" s="1" t="s">
        <v>46</v>
      </c>
      <c r="I18" s="1" t="s">
        <v>109</v>
      </c>
      <c r="J18" s="1" t="s">
        <v>38</v>
      </c>
      <c r="K18" s="1" t="s">
        <v>108</v>
      </c>
      <c r="L18" s="1"/>
      <c r="M18">
        <v>6180</v>
      </c>
      <c r="N18" s="1" t="s">
        <v>110</v>
      </c>
      <c r="O18" s="1" t="s">
        <v>41</v>
      </c>
      <c r="P18" s="10">
        <v>45538</v>
      </c>
      <c r="Q18" s="10">
        <v>45551</v>
      </c>
      <c r="R18" s="10">
        <v>45550</v>
      </c>
      <c r="S18" s="1" t="s">
        <v>92</v>
      </c>
      <c r="T18" s="1" t="s">
        <v>34</v>
      </c>
      <c r="U18">
        <v>13</v>
      </c>
      <c r="V18">
        <v>12</v>
      </c>
      <c r="W18" s="1" t="s">
        <v>57</v>
      </c>
    </row>
    <row r="19" spans="1:23" x14ac:dyDescent="0.25">
      <c r="A19" s="1" t="s">
        <v>111</v>
      </c>
      <c r="B19" s="1" t="s">
        <v>24</v>
      </c>
      <c r="C19" s="1" t="s">
        <v>112</v>
      </c>
      <c r="D19" s="1" t="s">
        <v>72</v>
      </c>
      <c r="E19" s="1" t="s">
        <v>27</v>
      </c>
      <c r="F19" s="1" t="s">
        <v>28</v>
      </c>
      <c r="G19" s="1" t="s">
        <v>45</v>
      </c>
      <c r="H19" s="1" t="s">
        <v>46</v>
      </c>
      <c r="I19" s="1" t="s">
        <v>113</v>
      </c>
      <c r="J19" s="1" t="s">
        <v>30</v>
      </c>
      <c r="K19" s="1" t="s">
        <v>95</v>
      </c>
      <c r="L19" s="1"/>
      <c r="M19">
        <v>11199</v>
      </c>
      <c r="N19" s="1" t="s">
        <v>114</v>
      </c>
      <c r="O19" s="1" t="s">
        <v>41</v>
      </c>
      <c r="P19" s="10">
        <v>45539</v>
      </c>
      <c r="Q19" s="10">
        <v>45553</v>
      </c>
      <c r="S19" s="1"/>
      <c r="T19" s="1" t="s">
        <v>90</v>
      </c>
      <c r="U19">
        <v>14</v>
      </c>
      <c r="V19">
        <v>0</v>
      </c>
      <c r="W19" s="1"/>
    </row>
    <row r="20" spans="1:23" x14ac:dyDescent="0.25">
      <c r="A20" s="1" t="s">
        <v>70</v>
      </c>
      <c r="B20" s="1" t="s">
        <v>24</v>
      </c>
      <c r="C20" s="1" t="s">
        <v>115</v>
      </c>
      <c r="D20" s="1" t="s">
        <v>72</v>
      </c>
      <c r="E20" s="1" t="s">
        <v>27</v>
      </c>
      <c r="F20" s="1" t="s">
        <v>28</v>
      </c>
      <c r="G20" s="1" t="s">
        <v>78</v>
      </c>
      <c r="H20" s="1" t="s">
        <v>116</v>
      </c>
      <c r="I20" s="1" t="s">
        <v>117</v>
      </c>
      <c r="J20" s="1" t="s">
        <v>30</v>
      </c>
      <c r="K20" s="1" t="s">
        <v>95</v>
      </c>
      <c r="L20" s="1"/>
      <c r="M20">
        <v>7987</v>
      </c>
      <c r="N20" s="1" t="s">
        <v>32</v>
      </c>
      <c r="O20" s="1" t="s">
        <v>32</v>
      </c>
      <c r="P20" s="10">
        <v>45541</v>
      </c>
      <c r="Q20" s="10">
        <v>45551</v>
      </c>
      <c r="R20" s="10">
        <v>45556</v>
      </c>
      <c r="S20" s="1" t="s">
        <v>92</v>
      </c>
      <c r="T20" s="1" t="s">
        <v>34</v>
      </c>
      <c r="U20">
        <v>10</v>
      </c>
      <c r="V20">
        <v>15</v>
      </c>
      <c r="W20" s="1" t="s">
        <v>69</v>
      </c>
    </row>
    <row r="21" spans="1:23" x14ac:dyDescent="0.25">
      <c r="A21" s="1" t="s">
        <v>80</v>
      </c>
      <c r="B21" s="1" t="s">
        <v>65</v>
      </c>
      <c r="C21" s="1" t="s">
        <v>81</v>
      </c>
      <c r="D21" s="1" t="s">
        <v>72</v>
      </c>
      <c r="E21" s="1" t="s">
        <v>80</v>
      </c>
      <c r="F21" s="1" t="s">
        <v>118</v>
      </c>
      <c r="G21" s="1" t="s">
        <v>119</v>
      </c>
      <c r="H21" s="1"/>
      <c r="I21" s="1" t="s">
        <v>120</v>
      </c>
      <c r="J21" s="1"/>
      <c r="K21" s="1"/>
      <c r="L21" s="1"/>
      <c r="M21">
        <v>9300</v>
      </c>
      <c r="N21" s="1" t="s">
        <v>121</v>
      </c>
      <c r="O21" s="1" t="s">
        <v>41</v>
      </c>
      <c r="P21" s="10">
        <v>45539</v>
      </c>
      <c r="Q21" s="10">
        <v>45550</v>
      </c>
      <c r="R21" s="10">
        <v>45552</v>
      </c>
      <c r="S21" s="1" t="s">
        <v>92</v>
      </c>
      <c r="T21" s="1" t="s">
        <v>34</v>
      </c>
      <c r="U21">
        <v>11</v>
      </c>
      <c r="V21">
        <v>13</v>
      </c>
      <c r="W21" s="1" t="s">
        <v>69</v>
      </c>
    </row>
    <row r="22" spans="1:23" x14ac:dyDescent="0.25">
      <c r="A22" s="1" t="s">
        <v>70</v>
      </c>
      <c r="B22" s="1" t="s">
        <v>24</v>
      </c>
      <c r="C22" s="1" t="s">
        <v>115</v>
      </c>
      <c r="D22" s="1" t="s">
        <v>72</v>
      </c>
      <c r="E22" s="1" t="s">
        <v>27</v>
      </c>
      <c r="F22" s="1" t="s">
        <v>28</v>
      </c>
      <c r="G22" s="1" t="s">
        <v>78</v>
      </c>
      <c r="H22" s="1" t="s">
        <v>116</v>
      </c>
      <c r="I22" s="1" t="s">
        <v>117</v>
      </c>
      <c r="J22" s="1" t="s">
        <v>30</v>
      </c>
      <c r="K22" s="1" t="s">
        <v>95</v>
      </c>
      <c r="L22" s="1"/>
      <c r="M22">
        <v>7987</v>
      </c>
      <c r="N22" s="1" t="s">
        <v>32</v>
      </c>
      <c r="O22" s="1" t="s">
        <v>32</v>
      </c>
      <c r="P22" s="10">
        <v>45541</v>
      </c>
      <c r="Q22" s="10">
        <v>45551</v>
      </c>
      <c r="R22" s="10">
        <v>45556</v>
      </c>
      <c r="S22" s="1" t="s">
        <v>92</v>
      </c>
      <c r="T22" s="1" t="s">
        <v>34</v>
      </c>
      <c r="U22">
        <v>10</v>
      </c>
      <c r="V22">
        <v>15</v>
      </c>
      <c r="W22" s="1" t="s">
        <v>69</v>
      </c>
    </row>
    <row r="23" spans="1:23" x14ac:dyDescent="0.25">
      <c r="A23" s="1" t="s">
        <v>70</v>
      </c>
      <c r="B23" s="1" t="s">
        <v>24</v>
      </c>
      <c r="C23" s="1" t="s">
        <v>115</v>
      </c>
      <c r="D23" s="1" t="s">
        <v>72</v>
      </c>
      <c r="E23" s="1" t="s">
        <v>27</v>
      </c>
      <c r="F23" s="1" t="s">
        <v>28</v>
      </c>
      <c r="G23" s="1" t="s">
        <v>78</v>
      </c>
      <c r="H23" s="1" t="s">
        <v>116</v>
      </c>
      <c r="I23" s="1" t="s">
        <v>117</v>
      </c>
      <c r="J23" s="1" t="s">
        <v>30</v>
      </c>
      <c r="K23" s="1" t="s">
        <v>95</v>
      </c>
      <c r="L23" s="1"/>
      <c r="M23">
        <v>7987</v>
      </c>
      <c r="N23" s="1" t="s">
        <v>32</v>
      </c>
      <c r="O23" s="1" t="s">
        <v>32</v>
      </c>
      <c r="P23" s="10">
        <v>45541</v>
      </c>
      <c r="Q23" s="10">
        <v>45551</v>
      </c>
      <c r="R23" s="10">
        <v>45556</v>
      </c>
      <c r="S23" s="1" t="s">
        <v>92</v>
      </c>
      <c r="T23" s="1" t="s">
        <v>34</v>
      </c>
      <c r="U23">
        <v>10</v>
      </c>
      <c r="V23">
        <v>15</v>
      </c>
      <c r="W23" s="1" t="s">
        <v>69</v>
      </c>
    </row>
    <row r="24" spans="1:23" x14ac:dyDescent="0.25">
      <c r="A24" s="1" t="s">
        <v>70</v>
      </c>
      <c r="B24" s="1" t="s">
        <v>24</v>
      </c>
      <c r="C24" s="1" t="s">
        <v>115</v>
      </c>
      <c r="D24" s="1" t="s">
        <v>72</v>
      </c>
      <c r="E24" s="1" t="s">
        <v>27</v>
      </c>
      <c r="F24" s="1" t="s">
        <v>28</v>
      </c>
      <c r="G24" s="1" t="s">
        <v>78</v>
      </c>
      <c r="H24" s="1" t="s">
        <v>116</v>
      </c>
      <c r="I24" s="1" t="s">
        <v>117</v>
      </c>
      <c r="J24" s="1" t="s">
        <v>30</v>
      </c>
      <c r="K24" s="1" t="s">
        <v>95</v>
      </c>
      <c r="L24" s="1"/>
      <c r="M24">
        <v>7987</v>
      </c>
      <c r="N24" s="1" t="s">
        <v>32</v>
      </c>
      <c r="O24" s="1" t="s">
        <v>32</v>
      </c>
      <c r="P24" s="10">
        <v>45541</v>
      </c>
      <c r="Q24" s="10">
        <v>45551</v>
      </c>
      <c r="R24" s="10">
        <v>45556</v>
      </c>
      <c r="S24" s="1" t="s">
        <v>92</v>
      </c>
      <c r="T24" s="1" t="s">
        <v>34</v>
      </c>
      <c r="U24">
        <v>10</v>
      </c>
      <c r="V24">
        <v>15</v>
      </c>
      <c r="W24" s="1" t="s">
        <v>69</v>
      </c>
    </row>
    <row r="25" spans="1:23" x14ac:dyDescent="0.25">
      <c r="A25" s="1" t="s">
        <v>122</v>
      </c>
      <c r="B25" s="1" t="s">
        <v>24</v>
      </c>
      <c r="C25" s="1" t="s">
        <v>123</v>
      </c>
      <c r="D25" s="1" t="s">
        <v>72</v>
      </c>
      <c r="E25" s="1" t="s">
        <v>27</v>
      </c>
      <c r="F25" s="1" t="s">
        <v>257</v>
      </c>
      <c r="G25" s="1" t="s">
        <v>103</v>
      </c>
      <c r="H25" s="1"/>
      <c r="I25" s="1" t="s">
        <v>104</v>
      </c>
      <c r="J25" s="1"/>
      <c r="K25" s="1"/>
      <c r="L25" s="1"/>
      <c r="M25">
        <v>8849</v>
      </c>
      <c r="N25" s="1" t="s">
        <v>32</v>
      </c>
      <c r="O25" s="1" t="s">
        <v>32</v>
      </c>
      <c r="P25" s="10">
        <v>45538</v>
      </c>
      <c r="Q25" s="10">
        <v>45581</v>
      </c>
      <c r="S25" s="1"/>
      <c r="T25" s="1" t="s">
        <v>90</v>
      </c>
      <c r="U25">
        <v>43</v>
      </c>
      <c r="V25">
        <v>0</v>
      </c>
      <c r="W25" s="1"/>
    </row>
    <row r="26" spans="1:23" x14ac:dyDescent="0.25">
      <c r="A26" s="1" t="s">
        <v>124</v>
      </c>
      <c r="B26" s="1" t="s">
        <v>24</v>
      </c>
      <c r="C26" s="1" t="s">
        <v>77</v>
      </c>
      <c r="D26" s="1" t="s">
        <v>26</v>
      </c>
      <c r="E26" s="1" t="s">
        <v>27</v>
      </c>
      <c r="F26" s="1" t="s">
        <v>28</v>
      </c>
      <c r="G26" s="1" t="s">
        <v>78</v>
      </c>
      <c r="H26" s="1" t="s">
        <v>125</v>
      </c>
      <c r="I26" s="1" t="s">
        <v>126</v>
      </c>
      <c r="J26" s="1" t="s">
        <v>30</v>
      </c>
      <c r="K26" s="1" t="s">
        <v>108</v>
      </c>
      <c r="L26" s="1"/>
      <c r="M26">
        <v>10987</v>
      </c>
      <c r="N26" s="1" t="s">
        <v>32</v>
      </c>
      <c r="O26" s="1" t="s">
        <v>32</v>
      </c>
      <c r="P26" s="10">
        <v>45544</v>
      </c>
      <c r="Q26" s="10">
        <v>45552</v>
      </c>
      <c r="R26" s="10">
        <v>45556</v>
      </c>
      <c r="S26" s="1" t="s">
        <v>92</v>
      </c>
      <c r="T26" s="1" t="s">
        <v>34</v>
      </c>
      <c r="U26">
        <v>8</v>
      </c>
      <c r="V26">
        <v>12</v>
      </c>
      <c r="W26" s="1" t="s">
        <v>69</v>
      </c>
    </row>
    <row r="27" spans="1:23" x14ac:dyDescent="0.25">
      <c r="A27" s="1" t="s">
        <v>64</v>
      </c>
      <c r="B27" s="1" t="s">
        <v>65</v>
      </c>
      <c r="C27" s="1"/>
      <c r="D27" s="1" t="s">
        <v>205</v>
      </c>
      <c r="E27" s="1" t="s">
        <v>64</v>
      </c>
      <c r="F27" s="1" t="s">
        <v>28</v>
      </c>
      <c r="G27" s="1" t="s">
        <v>45</v>
      </c>
      <c r="H27" s="1" t="s">
        <v>46</v>
      </c>
      <c r="I27" s="1" t="s">
        <v>127</v>
      </c>
      <c r="J27" s="1" t="s">
        <v>30</v>
      </c>
      <c r="K27" s="1" t="s">
        <v>60</v>
      </c>
      <c r="L27" s="1"/>
      <c r="M27">
        <v>9208</v>
      </c>
      <c r="N27" s="1" t="s">
        <v>128</v>
      </c>
      <c r="O27" s="1" t="s">
        <v>41</v>
      </c>
      <c r="P27" s="10">
        <v>45536</v>
      </c>
      <c r="Q27" s="10">
        <v>45554</v>
      </c>
      <c r="R27" s="10">
        <v>45556</v>
      </c>
      <c r="S27" s="1" t="s">
        <v>92</v>
      </c>
      <c r="T27" s="1" t="s">
        <v>34</v>
      </c>
      <c r="U27">
        <v>18</v>
      </c>
      <c r="V27">
        <v>20</v>
      </c>
      <c r="W27" s="1" t="s">
        <v>69</v>
      </c>
    </row>
    <row r="28" spans="1:23" x14ac:dyDescent="0.25">
      <c r="A28" s="1" t="s">
        <v>64</v>
      </c>
      <c r="B28" s="1" t="s">
        <v>65</v>
      </c>
      <c r="C28" s="1"/>
      <c r="D28" s="1" t="s">
        <v>205</v>
      </c>
      <c r="E28" s="1" t="s">
        <v>64</v>
      </c>
      <c r="F28" s="1" t="s">
        <v>28</v>
      </c>
      <c r="G28" s="1" t="s">
        <v>45</v>
      </c>
      <c r="H28" s="1" t="s">
        <v>46</v>
      </c>
      <c r="I28" s="1" t="s">
        <v>129</v>
      </c>
      <c r="J28" s="1" t="s">
        <v>38</v>
      </c>
      <c r="K28" s="1" t="s">
        <v>60</v>
      </c>
      <c r="L28" s="1"/>
      <c r="M28">
        <v>9208</v>
      </c>
      <c r="N28" s="1" t="s">
        <v>130</v>
      </c>
      <c r="O28" s="1" t="s">
        <v>41</v>
      </c>
      <c r="P28" s="10">
        <v>45536</v>
      </c>
      <c r="Q28" s="10">
        <v>45554</v>
      </c>
      <c r="R28" s="10">
        <v>45556</v>
      </c>
      <c r="S28" s="1" t="s">
        <v>92</v>
      </c>
      <c r="T28" s="1" t="s">
        <v>34</v>
      </c>
      <c r="U28">
        <v>18</v>
      </c>
      <c r="V28">
        <v>20</v>
      </c>
      <c r="W28" s="1" t="s">
        <v>69</v>
      </c>
    </row>
    <row r="29" spans="1:23" x14ac:dyDescent="0.25">
      <c r="A29" s="1" t="s">
        <v>131</v>
      </c>
      <c r="B29" s="1" t="s">
        <v>65</v>
      </c>
      <c r="C29" s="1" t="s">
        <v>132</v>
      </c>
      <c r="D29" s="1" t="s">
        <v>133</v>
      </c>
      <c r="E29" s="1" t="s">
        <v>107</v>
      </c>
      <c r="F29" s="1" t="s">
        <v>28</v>
      </c>
      <c r="G29" s="1" t="s">
        <v>78</v>
      </c>
      <c r="H29" s="1" t="s">
        <v>116</v>
      </c>
      <c r="I29" s="1" t="s">
        <v>134</v>
      </c>
      <c r="J29" s="1" t="s">
        <v>30</v>
      </c>
      <c r="K29" s="1" t="s">
        <v>108</v>
      </c>
      <c r="L29" s="1"/>
      <c r="M29">
        <v>4020</v>
      </c>
      <c r="N29" s="1" t="s">
        <v>135</v>
      </c>
      <c r="O29" s="1" t="s">
        <v>135</v>
      </c>
      <c r="P29" s="10">
        <v>45547</v>
      </c>
      <c r="Q29" s="10">
        <v>45556</v>
      </c>
      <c r="R29" s="10">
        <v>45557</v>
      </c>
      <c r="S29" s="1" t="s">
        <v>92</v>
      </c>
      <c r="T29" s="1" t="s">
        <v>34</v>
      </c>
      <c r="U29">
        <v>9</v>
      </c>
      <c r="V29">
        <v>10</v>
      </c>
      <c r="W29" s="1" t="s">
        <v>69</v>
      </c>
    </row>
    <row r="30" spans="1:23" x14ac:dyDescent="0.25">
      <c r="A30" s="1" t="s">
        <v>131</v>
      </c>
      <c r="B30" s="1" t="s">
        <v>65</v>
      </c>
      <c r="C30" s="1" t="s">
        <v>132</v>
      </c>
      <c r="D30" s="1" t="s">
        <v>133</v>
      </c>
      <c r="E30" s="1" t="s">
        <v>107</v>
      </c>
      <c r="F30" s="1" t="s">
        <v>28</v>
      </c>
      <c r="G30" s="1" t="s">
        <v>78</v>
      </c>
      <c r="H30" s="1" t="s">
        <v>116</v>
      </c>
      <c r="I30" s="1" t="s">
        <v>134</v>
      </c>
      <c r="J30" s="1" t="s">
        <v>30</v>
      </c>
      <c r="K30" s="1" t="s">
        <v>108</v>
      </c>
      <c r="L30" s="1"/>
      <c r="M30">
        <v>4020</v>
      </c>
      <c r="N30" s="1" t="s">
        <v>135</v>
      </c>
      <c r="O30" s="1" t="s">
        <v>135</v>
      </c>
      <c r="P30" s="10">
        <v>45547</v>
      </c>
      <c r="Q30" s="10">
        <v>45556</v>
      </c>
      <c r="R30" s="10">
        <v>45557</v>
      </c>
      <c r="S30" s="1" t="s">
        <v>92</v>
      </c>
      <c r="T30" s="1" t="s">
        <v>34</v>
      </c>
      <c r="U30">
        <v>9</v>
      </c>
      <c r="V30">
        <v>10</v>
      </c>
      <c r="W30" s="1" t="s">
        <v>69</v>
      </c>
    </row>
    <row r="31" spans="1:23" x14ac:dyDescent="0.25">
      <c r="A31" s="1" t="s">
        <v>131</v>
      </c>
      <c r="B31" s="1" t="s">
        <v>65</v>
      </c>
      <c r="C31" s="1" t="s">
        <v>132</v>
      </c>
      <c r="D31" s="1" t="s">
        <v>133</v>
      </c>
      <c r="E31" s="1" t="s">
        <v>107</v>
      </c>
      <c r="F31" s="1" t="s">
        <v>28</v>
      </c>
      <c r="G31" s="1" t="s">
        <v>78</v>
      </c>
      <c r="H31" s="1" t="s">
        <v>136</v>
      </c>
      <c r="I31" s="1" t="s">
        <v>137</v>
      </c>
      <c r="J31" s="1" t="s">
        <v>38</v>
      </c>
      <c r="K31" s="1" t="s">
        <v>108</v>
      </c>
      <c r="L31" s="1"/>
      <c r="M31">
        <v>4020</v>
      </c>
      <c r="N31" s="1" t="s">
        <v>32</v>
      </c>
      <c r="O31" s="1" t="s">
        <v>32</v>
      </c>
      <c r="P31" s="10">
        <v>45547</v>
      </c>
      <c r="Q31" s="10">
        <v>45556</v>
      </c>
      <c r="R31" s="10">
        <v>45557</v>
      </c>
      <c r="S31" s="1" t="s">
        <v>92</v>
      </c>
      <c r="T31" s="1" t="s">
        <v>34</v>
      </c>
      <c r="U31">
        <v>9</v>
      </c>
      <c r="V31">
        <v>10</v>
      </c>
      <c r="W31" s="1" t="s">
        <v>69</v>
      </c>
    </row>
    <row r="32" spans="1:23" x14ac:dyDescent="0.25">
      <c r="A32" s="1" t="s">
        <v>131</v>
      </c>
      <c r="B32" s="1" t="s">
        <v>65</v>
      </c>
      <c r="C32" s="1" t="s">
        <v>132</v>
      </c>
      <c r="D32" s="1" t="s">
        <v>133</v>
      </c>
      <c r="E32" s="1" t="s">
        <v>107</v>
      </c>
      <c r="F32" s="1" t="s">
        <v>28</v>
      </c>
      <c r="G32" s="1" t="s">
        <v>78</v>
      </c>
      <c r="H32" s="1" t="s">
        <v>136</v>
      </c>
      <c r="I32" s="1" t="s">
        <v>137</v>
      </c>
      <c r="J32" s="1" t="s">
        <v>38</v>
      </c>
      <c r="K32" s="1" t="s">
        <v>108</v>
      </c>
      <c r="L32" s="1"/>
      <c r="M32">
        <v>4020</v>
      </c>
      <c r="N32" s="1" t="s">
        <v>32</v>
      </c>
      <c r="O32" s="1" t="s">
        <v>32</v>
      </c>
      <c r="P32" s="10">
        <v>45547</v>
      </c>
      <c r="Q32" s="10">
        <v>45556</v>
      </c>
      <c r="R32" s="10">
        <v>45557</v>
      </c>
      <c r="S32" s="1" t="s">
        <v>92</v>
      </c>
      <c r="T32" s="1" t="s">
        <v>34</v>
      </c>
      <c r="U32">
        <v>9</v>
      </c>
      <c r="V32">
        <v>10</v>
      </c>
      <c r="W32" s="1" t="s">
        <v>69</v>
      </c>
    </row>
    <row r="33" spans="1:23" x14ac:dyDescent="0.25">
      <c r="A33" s="1" t="s">
        <v>138</v>
      </c>
      <c r="B33" s="1" t="s">
        <v>24</v>
      </c>
      <c r="C33" s="1" t="s">
        <v>139</v>
      </c>
      <c r="D33" s="1" t="s">
        <v>37</v>
      </c>
      <c r="E33" s="1" t="s">
        <v>27</v>
      </c>
      <c r="F33" s="1" t="s">
        <v>257</v>
      </c>
      <c r="G33" s="1" t="s">
        <v>140</v>
      </c>
      <c r="H33" s="1"/>
      <c r="I33" s="1" t="s">
        <v>141</v>
      </c>
      <c r="J33" s="1"/>
      <c r="K33" s="1"/>
      <c r="L33" s="1"/>
      <c r="M33">
        <v>8349</v>
      </c>
      <c r="N33" s="1" t="s">
        <v>32</v>
      </c>
      <c r="O33" s="1" t="s">
        <v>32</v>
      </c>
      <c r="P33" s="10">
        <v>45549</v>
      </c>
      <c r="Q33" s="10">
        <v>45557</v>
      </c>
      <c r="R33" s="10">
        <v>45559</v>
      </c>
      <c r="S33" s="1" t="s">
        <v>33</v>
      </c>
      <c r="T33" s="1" t="s">
        <v>34</v>
      </c>
      <c r="U33">
        <v>8</v>
      </c>
      <c r="V33">
        <v>10</v>
      </c>
      <c r="W33" s="1" t="s">
        <v>69</v>
      </c>
    </row>
    <row r="34" spans="1:23" x14ac:dyDescent="0.25">
      <c r="A34" s="1" t="s">
        <v>142</v>
      </c>
      <c r="B34" s="1" t="s">
        <v>24</v>
      </c>
      <c r="C34" s="1" t="s">
        <v>143</v>
      </c>
      <c r="D34" s="1" t="s">
        <v>72</v>
      </c>
      <c r="E34" s="1" t="s">
        <v>27</v>
      </c>
      <c r="F34" s="1" t="s">
        <v>257</v>
      </c>
      <c r="G34" s="1" t="s">
        <v>103</v>
      </c>
      <c r="H34" s="1"/>
      <c r="I34" s="1" t="s">
        <v>104</v>
      </c>
      <c r="J34" s="1"/>
      <c r="K34" s="1"/>
      <c r="L34" s="1"/>
      <c r="M34">
        <v>7849</v>
      </c>
      <c r="N34" s="1" t="s">
        <v>144</v>
      </c>
      <c r="O34" s="1" t="s">
        <v>41</v>
      </c>
      <c r="P34" s="10">
        <v>45547</v>
      </c>
      <c r="Q34" s="10">
        <v>45561</v>
      </c>
      <c r="S34" s="1" t="s">
        <v>33</v>
      </c>
      <c r="T34" s="1" t="s">
        <v>34</v>
      </c>
      <c r="U34">
        <v>14</v>
      </c>
      <c r="V34">
        <v>0</v>
      </c>
      <c r="W34" s="1"/>
    </row>
    <row r="35" spans="1:23" x14ac:dyDescent="0.25">
      <c r="A35" s="1" t="s">
        <v>145</v>
      </c>
      <c r="B35" s="1" t="s">
        <v>24</v>
      </c>
      <c r="C35" s="1" t="s">
        <v>146</v>
      </c>
      <c r="D35" s="1" t="s">
        <v>26</v>
      </c>
      <c r="E35" s="1" t="s">
        <v>73</v>
      </c>
      <c r="F35" s="1" t="s">
        <v>28</v>
      </c>
      <c r="G35" s="1" t="s">
        <v>147</v>
      </c>
      <c r="H35" s="1" t="s">
        <v>46</v>
      </c>
      <c r="I35" s="1" t="s">
        <v>148</v>
      </c>
      <c r="J35" s="1" t="s">
        <v>38</v>
      </c>
      <c r="K35" s="1" t="s">
        <v>60</v>
      </c>
      <c r="L35" s="1"/>
      <c r="M35">
        <v>9450</v>
      </c>
      <c r="N35" s="1" t="s">
        <v>149</v>
      </c>
      <c r="O35" s="1" t="s">
        <v>41</v>
      </c>
      <c r="P35" s="10">
        <v>45547</v>
      </c>
      <c r="Q35" s="10">
        <v>45561</v>
      </c>
      <c r="S35" s="1"/>
      <c r="T35" s="1" t="s">
        <v>90</v>
      </c>
      <c r="U35">
        <v>14</v>
      </c>
      <c r="V35">
        <v>0</v>
      </c>
      <c r="W35" s="1"/>
    </row>
    <row r="36" spans="1:23" x14ac:dyDescent="0.25">
      <c r="A36" s="1" t="s">
        <v>150</v>
      </c>
      <c r="B36" s="1" t="s">
        <v>24</v>
      </c>
      <c r="C36" s="1" t="s">
        <v>115</v>
      </c>
      <c r="D36" s="1" t="s">
        <v>72</v>
      </c>
      <c r="E36" s="1" t="s">
        <v>27</v>
      </c>
      <c r="F36" s="1" t="s">
        <v>28</v>
      </c>
      <c r="G36" s="1" t="s">
        <v>78</v>
      </c>
      <c r="H36" s="1" t="s">
        <v>125</v>
      </c>
      <c r="I36" s="1" t="s">
        <v>151</v>
      </c>
      <c r="J36" s="1" t="s">
        <v>38</v>
      </c>
      <c r="K36" s="1" t="s">
        <v>108</v>
      </c>
      <c r="L36" s="1"/>
      <c r="M36">
        <v>7460</v>
      </c>
      <c r="N36" s="1" t="s">
        <v>32</v>
      </c>
      <c r="O36" s="1" t="s">
        <v>32</v>
      </c>
      <c r="P36" s="10">
        <v>45548</v>
      </c>
      <c r="Q36" s="10">
        <v>45561</v>
      </c>
      <c r="R36" s="10">
        <v>45568</v>
      </c>
      <c r="S36" s="1" t="s">
        <v>92</v>
      </c>
      <c r="T36" s="1" t="s">
        <v>34</v>
      </c>
      <c r="U36">
        <v>13</v>
      </c>
      <c r="V36">
        <v>20</v>
      </c>
      <c r="W36" s="1" t="s">
        <v>69</v>
      </c>
    </row>
    <row r="37" spans="1:23" x14ac:dyDescent="0.25">
      <c r="A37" s="1" t="s">
        <v>152</v>
      </c>
      <c r="B37" s="1" t="s">
        <v>24</v>
      </c>
      <c r="C37" s="1" t="s">
        <v>77</v>
      </c>
      <c r="D37" s="1" t="s">
        <v>26</v>
      </c>
      <c r="E37" s="1" t="s">
        <v>27</v>
      </c>
      <c r="F37" s="1" t="s">
        <v>28</v>
      </c>
      <c r="G37" s="1" t="s">
        <v>45</v>
      </c>
      <c r="H37" s="1" t="s">
        <v>46</v>
      </c>
      <c r="I37" s="1" t="s">
        <v>153</v>
      </c>
      <c r="J37" s="1" t="s">
        <v>61</v>
      </c>
      <c r="K37" s="1" t="s">
        <v>108</v>
      </c>
      <c r="L37" s="1"/>
      <c r="M37">
        <v>12999</v>
      </c>
      <c r="N37" s="1" t="s">
        <v>32</v>
      </c>
      <c r="O37" s="1" t="s">
        <v>32</v>
      </c>
      <c r="P37" s="10">
        <v>45549</v>
      </c>
      <c r="Q37" s="10">
        <v>45562</v>
      </c>
      <c r="R37" s="10">
        <v>45567</v>
      </c>
      <c r="S37" s="1" t="s">
        <v>92</v>
      </c>
      <c r="T37" s="1" t="s">
        <v>34</v>
      </c>
      <c r="U37">
        <v>13</v>
      </c>
      <c r="V37">
        <v>18</v>
      </c>
      <c r="W37" s="1" t="s">
        <v>69</v>
      </c>
    </row>
    <row r="38" spans="1:23" x14ac:dyDescent="0.25">
      <c r="A38" s="1" t="s">
        <v>154</v>
      </c>
      <c r="B38" s="1" t="s">
        <v>24</v>
      </c>
      <c r="C38" s="1" t="s">
        <v>155</v>
      </c>
      <c r="D38" s="1" t="s">
        <v>72</v>
      </c>
      <c r="E38" s="1" t="s">
        <v>27</v>
      </c>
      <c r="F38" s="1" t="s">
        <v>28</v>
      </c>
      <c r="G38" s="1" t="s">
        <v>45</v>
      </c>
      <c r="H38" s="1" t="s">
        <v>59</v>
      </c>
      <c r="I38" s="1" t="s">
        <v>156</v>
      </c>
      <c r="J38" s="1" t="s">
        <v>38</v>
      </c>
      <c r="K38" s="1" t="s">
        <v>47</v>
      </c>
      <c r="L38" s="1"/>
      <c r="M38">
        <v>5999</v>
      </c>
      <c r="N38" s="1" t="s">
        <v>32</v>
      </c>
      <c r="O38" s="1" t="s">
        <v>32</v>
      </c>
      <c r="P38" s="10">
        <v>45547</v>
      </c>
      <c r="Q38" s="10">
        <v>45564</v>
      </c>
      <c r="S38" s="1"/>
      <c r="T38" s="1" t="s">
        <v>90</v>
      </c>
      <c r="U38">
        <v>17</v>
      </c>
      <c r="V38">
        <v>0</v>
      </c>
      <c r="W38" s="1"/>
    </row>
    <row r="39" spans="1:23" x14ac:dyDescent="0.25">
      <c r="A39" s="1" t="s">
        <v>157</v>
      </c>
      <c r="B39" s="1" t="s">
        <v>24</v>
      </c>
      <c r="C39" s="1" t="s">
        <v>158</v>
      </c>
      <c r="D39" s="1" t="s">
        <v>26</v>
      </c>
      <c r="E39" s="1" t="s">
        <v>27</v>
      </c>
      <c r="F39" s="1" t="s">
        <v>28</v>
      </c>
      <c r="G39" s="1" t="s">
        <v>45</v>
      </c>
      <c r="H39" s="1" t="s">
        <v>46</v>
      </c>
      <c r="I39" s="1" t="s">
        <v>159</v>
      </c>
      <c r="J39" s="1" t="s">
        <v>38</v>
      </c>
      <c r="K39" s="1" t="s">
        <v>60</v>
      </c>
      <c r="L39" s="1"/>
      <c r="M39">
        <v>11949</v>
      </c>
      <c r="N39" s="1" t="s">
        <v>160</v>
      </c>
      <c r="O39" s="1" t="s">
        <v>41</v>
      </c>
      <c r="P39" s="10">
        <v>45547</v>
      </c>
      <c r="Q39" s="10">
        <v>45564</v>
      </c>
      <c r="R39" s="10">
        <v>45567</v>
      </c>
      <c r="S39" s="1" t="s">
        <v>92</v>
      </c>
      <c r="T39" s="1" t="s">
        <v>34</v>
      </c>
      <c r="U39">
        <v>17</v>
      </c>
      <c r="V39">
        <v>20</v>
      </c>
      <c r="W39" s="1" t="s">
        <v>69</v>
      </c>
    </row>
    <row r="40" spans="1:23" x14ac:dyDescent="0.25">
      <c r="A40" s="1" t="s">
        <v>157</v>
      </c>
      <c r="B40" s="1" t="s">
        <v>24</v>
      </c>
      <c r="C40" s="1" t="s">
        <v>158</v>
      </c>
      <c r="D40" s="1" t="s">
        <v>26</v>
      </c>
      <c r="E40" s="1" t="s">
        <v>27</v>
      </c>
      <c r="F40" s="1" t="s">
        <v>28</v>
      </c>
      <c r="G40" s="1" t="s">
        <v>45</v>
      </c>
      <c r="H40" s="1" t="s">
        <v>46</v>
      </c>
      <c r="I40" s="1" t="s">
        <v>159</v>
      </c>
      <c r="J40" s="1" t="s">
        <v>38</v>
      </c>
      <c r="K40" s="1" t="s">
        <v>60</v>
      </c>
      <c r="L40" s="1"/>
      <c r="M40">
        <v>11949</v>
      </c>
      <c r="N40" s="1" t="s">
        <v>160</v>
      </c>
      <c r="O40" s="1" t="s">
        <v>41</v>
      </c>
      <c r="P40" s="10">
        <v>45547</v>
      </c>
      <c r="Q40" s="10">
        <v>45564</v>
      </c>
      <c r="R40" s="10">
        <v>45567</v>
      </c>
      <c r="S40" s="1" t="s">
        <v>92</v>
      </c>
      <c r="T40" s="1" t="s">
        <v>34</v>
      </c>
      <c r="U40">
        <v>17</v>
      </c>
      <c r="V40">
        <v>20</v>
      </c>
      <c r="W40" s="1" t="s">
        <v>69</v>
      </c>
    </row>
    <row r="41" spans="1:23" x14ac:dyDescent="0.25">
      <c r="A41" s="1" t="s">
        <v>70</v>
      </c>
      <c r="B41" s="1" t="s">
        <v>24</v>
      </c>
      <c r="C41" s="1" t="s">
        <v>161</v>
      </c>
      <c r="D41" s="1" t="s">
        <v>72</v>
      </c>
      <c r="E41" s="1" t="s">
        <v>27</v>
      </c>
      <c r="F41" s="1" t="s">
        <v>28</v>
      </c>
      <c r="G41" s="1" t="s">
        <v>147</v>
      </c>
      <c r="H41" s="1" t="s">
        <v>46</v>
      </c>
      <c r="I41" s="1" t="s">
        <v>162</v>
      </c>
      <c r="J41" s="1" t="s">
        <v>30</v>
      </c>
      <c r="K41" s="1" t="s">
        <v>95</v>
      </c>
      <c r="L41" s="1"/>
      <c r="M41">
        <v>16599</v>
      </c>
      <c r="N41" s="1" t="s">
        <v>32</v>
      </c>
      <c r="O41" s="1" t="s">
        <v>32</v>
      </c>
      <c r="P41" s="10">
        <v>45548</v>
      </c>
      <c r="Q41" s="10">
        <v>45565</v>
      </c>
      <c r="R41" s="10">
        <v>45568</v>
      </c>
      <c r="S41" s="1" t="s">
        <v>92</v>
      </c>
      <c r="T41" s="1" t="s">
        <v>34</v>
      </c>
      <c r="U41">
        <v>17</v>
      </c>
      <c r="V41">
        <v>20</v>
      </c>
      <c r="W41" s="1" t="s">
        <v>69</v>
      </c>
    </row>
    <row r="42" spans="1:23" x14ac:dyDescent="0.25">
      <c r="A42" s="1" t="s">
        <v>163</v>
      </c>
      <c r="B42" s="1" t="s">
        <v>24</v>
      </c>
      <c r="C42" s="1" t="s">
        <v>53</v>
      </c>
      <c r="D42" s="1" t="s">
        <v>54</v>
      </c>
      <c r="E42" s="1" t="s">
        <v>27</v>
      </c>
      <c r="F42" s="1" t="s">
        <v>28</v>
      </c>
      <c r="G42" s="1" t="s">
        <v>45</v>
      </c>
      <c r="H42" s="1" t="s">
        <v>46</v>
      </c>
      <c r="I42" s="1" t="s">
        <v>164</v>
      </c>
      <c r="J42" s="1" t="s">
        <v>30</v>
      </c>
      <c r="K42" s="1" t="s">
        <v>95</v>
      </c>
      <c r="L42" s="1"/>
      <c r="M42">
        <v>10999</v>
      </c>
      <c r="N42" s="1" t="s">
        <v>32</v>
      </c>
      <c r="O42" s="1" t="s">
        <v>32</v>
      </c>
      <c r="P42" s="10">
        <v>45548</v>
      </c>
      <c r="Q42" s="10">
        <v>45565</v>
      </c>
      <c r="R42" s="10">
        <v>45581</v>
      </c>
      <c r="S42" s="1" t="s">
        <v>33</v>
      </c>
      <c r="T42" s="1" t="s">
        <v>34</v>
      </c>
      <c r="U42">
        <v>17</v>
      </c>
      <c r="V42">
        <v>33</v>
      </c>
      <c r="W42" s="1" t="s">
        <v>69</v>
      </c>
    </row>
    <row r="43" spans="1:23" x14ac:dyDescent="0.25">
      <c r="A43" s="1" t="s">
        <v>165</v>
      </c>
      <c r="B43" s="1" t="s">
        <v>24</v>
      </c>
      <c r="C43" s="1" t="s">
        <v>166</v>
      </c>
      <c r="D43" s="1" t="s">
        <v>167</v>
      </c>
      <c r="E43" s="1" t="s">
        <v>27</v>
      </c>
      <c r="F43" s="1" t="s">
        <v>28</v>
      </c>
      <c r="G43" s="1" t="s">
        <v>45</v>
      </c>
      <c r="H43" s="1" t="s">
        <v>46</v>
      </c>
      <c r="I43" s="1" t="s">
        <v>169</v>
      </c>
      <c r="J43" s="1" t="s">
        <v>48</v>
      </c>
      <c r="K43" s="1" t="s">
        <v>168</v>
      </c>
      <c r="L43" s="1"/>
      <c r="M43">
        <v>13099</v>
      </c>
      <c r="N43" s="1" t="s">
        <v>32</v>
      </c>
      <c r="O43" s="1" t="s">
        <v>32</v>
      </c>
      <c r="P43" s="10">
        <v>45548</v>
      </c>
      <c r="Q43" s="10">
        <v>45565</v>
      </c>
      <c r="R43" s="10">
        <v>45568</v>
      </c>
      <c r="S43" s="1" t="s">
        <v>33</v>
      </c>
      <c r="T43" s="1" t="s">
        <v>34</v>
      </c>
      <c r="U43">
        <v>17</v>
      </c>
      <c r="V43">
        <v>20</v>
      </c>
      <c r="W43" s="1" t="s">
        <v>69</v>
      </c>
    </row>
    <row r="44" spans="1:23" x14ac:dyDescent="0.25">
      <c r="A44" s="1" t="s">
        <v>170</v>
      </c>
      <c r="B44" s="1" t="s">
        <v>24</v>
      </c>
      <c r="C44" s="1" t="s">
        <v>77</v>
      </c>
      <c r="D44" s="1" t="s">
        <v>26</v>
      </c>
      <c r="E44" s="1" t="s">
        <v>27</v>
      </c>
      <c r="F44" s="1" t="s">
        <v>28</v>
      </c>
      <c r="G44" s="1" t="s">
        <v>45</v>
      </c>
      <c r="H44" s="1" t="s">
        <v>171</v>
      </c>
      <c r="I44" s="1" t="s">
        <v>173</v>
      </c>
      <c r="J44" s="1" t="s">
        <v>172</v>
      </c>
      <c r="K44" s="1" t="s">
        <v>108</v>
      </c>
      <c r="L44" s="1"/>
      <c r="M44">
        <v>13849</v>
      </c>
      <c r="N44" s="1" t="s">
        <v>32</v>
      </c>
      <c r="O44" s="1" t="s">
        <v>32</v>
      </c>
      <c r="P44" s="10">
        <v>45548</v>
      </c>
      <c r="Q44" s="10">
        <v>45565</v>
      </c>
      <c r="R44" s="10">
        <v>45585</v>
      </c>
      <c r="S44" s="1" t="s">
        <v>92</v>
      </c>
      <c r="T44" s="1" t="s">
        <v>34</v>
      </c>
      <c r="U44">
        <v>17</v>
      </c>
      <c r="V44">
        <v>37</v>
      </c>
      <c r="W44" s="1" t="s">
        <v>69</v>
      </c>
    </row>
    <row r="45" spans="1:23" x14ac:dyDescent="0.25">
      <c r="A45" s="1" t="s">
        <v>174</v>
      </c>
      <c r="B45" s="1" t="s">
        <v>24</v>
      </c>
      <c r="C45" s="1" t="s">
        <v>77</v>
      </c>
      <c r="D45" s="1" t="s">
        <v>26</v>
      </c>
      <c r="E45" s="1" t="s">
        <v>27</v>
      </c>
      <c r="F45" s="1" t="s">
        <v>28</v>
      </c>
      <c r="G45" s="1" t="s">
        <v>45</v>
      </c>
      <c r="H45" s="1" t="s">
        <v>46</v>
      </c>
      <c r="I45" s="1" t="s">
        <v>164</v>
      </c>
      <c r="J45" s="1" t="s">
        <v>30</v>
      </c>
      <c r="K45" s="1" t="s">
        <v>95</v>
      </c>
      <c r="L45" s="1"/>
      <c r="M45">
        <v>10999</v>
      </c>
      <c r="N45" s="1" t="s">
        <v>32</v>
      </c>
      <c r="O45" s="1" t="s">
        <v>32</v>
      </c>
      <c r="P45" s="10">
        <v>45548</v>
      </c>
      <c r="Q45" s="10">
        <v>45565</v>
      </c>
      <c r="R45" s="10">
        <v>45580</v>
      </c>
      <c r="S45" s="1" t="s">
        <v>92</v>
      </c>
      <c r="T45" s="1" t="s">
        <v>34</v>
      </c>
      <c r="U45">
        <v>17</v>
      </c>
      <c r="V45">
        <v>32</v>
      </c>
      <c r="W45" s="1" t="s">
        <v>69</v>
      </c>
    </row>
    <row r="46" spans="1:23" x14ac:dyDescent="0.25">
      <c r="A46" s="1" t="s">
        <v>175</v>
      </c>
      <c r="B46" s="1" t="s">
        <v>24</v>
      </c>
      <c r="C46" s="1" t="s">
        <v>123</v>
      </c>
      <c r="D46" s="1" t="s">
        <v>72</v>
      </c>
      <c r="E46" s="1" t="s">
        <v>27</v>
      </c>
      <c r="F46" s="1" t="s">
        <v>28</v>
      </c>
      <c r="G46" s="1" t="s">
        <v>147</v>
      </c>
      <c r="H46" s="1" t="s">
        <v>46</v>
      </c>
      <c r="I46" s="1" t="s">
        <v>176</v>
      </c>
      <c r="J46" s="1" t="s">
        <v>38</v>
      </c>
      <c r="K46" s="1" t="s">
        <v>47</v>
      </c>
      <c r="L46" s="1"/>
      <c r="M46">
        <v>17249</v>
      </c>
      <c r="N46" s="1" t="s">
        <v>32</v>
      </c>
      <c r="O46" s="1" t="s">
        <v>32</v>
      </c>
      <c r="P46" s="10">
        <v>45548</v>
      </c>
      <c r="Q46" s="10">
        <v>45565</v>
      </c>
      <c r="R46" s="10">
        <v>45569</v>
      </c>
      <c r="S46" s="1" t="s">
        <v>92</v>
      </c>
      <c r="T46" s="1" t="s">
        <v>34</v>
      </c>
      <c r="U46">
        <v>17</v>
      </c>
      <c r="V46">
        <v>21</v>
      </c>
      <c r="W46" s="1" t="s">
        <v>69</v>
      </c>
    </row>
    <row r="47" spans="1:23" x14ac:dyDescent="0.25">
      <c r="A47" s="1" t="s">
        <v>177</v>
      </c>
      <c r="B47" s="1" t="s">
        <v>24</v>
      </c>
      <c r="C47" s="1" t="s">
        <v>178</v>
      </c>
      <c r="D47" s="1" t="s">
        <v>26</v>
      </c>
      <c r="E47" s="1" t="s">
        <v>27</v>
      </c>
      <c r="F47" s="1" t="s">
        <v>257</v>
      </c>
      <c r="G47" s="1" t="s">
        <v>103</v>
      </c>
      <c r="H47" s="1"/>
      <c r="I47" s="1" t="s">
        <v>179</v>
      </c>
      <c r="J47" s="1"/>
      <c r="K47" s="1"/>
      <c r="L47" s="1"/>
      <c r="M47">
        <v>8349</v>
      </c>
      <c r="N47" s="1" t="s">
        <v>32</v>
      </c>
      <c r="O47" s="1" t="s">
        <v>32</v>
      </c>
      <c r="P47" s="10">
        <v>45549</v>
      </c>
      <c r="Q47" s="10">
        <v>45581</v>
      </c>
      <c r="R47" s="10">
        <v>45586</v>
      </c>
      <c r="S47" s="1" t="s">
        <v>92</v>
      </c>
      <c r="T47" s="1" t="s">
        <v>34</v>
      </c>
      <c r="U47">
        <v>32</v>
      </c>
      <c r="V47">
        <v>37</v>
      </c>
      <c r="W47" s="1" t="s">
        <v>69</v>
      </c>
    </row>
    <row r="48" spans="1:23" x14ac:dyDescent="0.25">
      <c r="A48" s="1" t="s">
        <v>180</v>
      </c>
      <c r="B48" s="1" t="s">
        <v>24</v>
      </c>
      <c r="C48" s="1" t="s">
        <v>102</v>
      </c>
      <c r="D48" s="1" t="s">
        <v>72</v>
      </c>
      <c r="E48" s="1" t="s">
        <v>27</v>
      </c>
      <c r="F48" s="1" t="s">
        <v>257</v>
      </c>
      <c r="G48" s="1" t="s">
        <v>181</v>
      </c>
      <c r="H48" s="1"/>
      <c r="I48" s="1" t="s">
        <v>56</v>
      </c>
      <c r="J48" s="1"/>
      <c r="K48" s="1"/>
      <c r="L48" s="1"/>
      <c r="M48">
        <v>7849</v>
      </c>
      <c r="N48" s="1" t="s">
        <v>32</v>
      </c>
      <c r="O48" s="1" t="s">
        <v>32</v>
      </c>
      <c r="P48" s="10">
        <v>45549</v>
      </c>
      <c r="Q48" s="10">
        <v>45594</v>
      </c>
      <c r="R48" s="10">
        <v>45595</v>
      </c>
      <c r="S48" s="1" t="s">
        <v>92</v>
      </c>
      <c r="T48" s="1" t="s">
        <v>34</v>
      </c>
      <c r="U48">
        <v>45</v>
      </c>
      <c r="V48">
        <v>46</v>
      </c>
      <c r="W48" s="1" t="s">
        <v>69</v>
      </c>
    </row>
    <row r="49" spans="1:23" x14ac:dyDescent="0.25">
      <c r="A49" s="1" t="s">
        <v>182</v>
      </c>
      <c r="B49" s="1" t="s">
        <v>24</v>
      </c>
      <c r="C49" s="1" t="s">
        <v>183</v>
      </c>
      <c r="D49" s="1" t="s">
        <v>26</v>
      </c>
      <c r="E49" s="1" t="s">
        <v>27</v>
      </c>
      <c r="F49" s="1" t="s">
        <v>28</v>
      </c>
      <c r="G49" s="1" t="s">
        <v>78</v>
      </c>
      <c r="H49" s="1" t="s">
        <v>125</v>
      </c>
      <c r="I49" s="1" t="s">
        <v>184</v>
      </c>
      <c r="J49" s="1" t="s">
        <v>38</v>
      </c>
      <c r="K49" s="1" t="s">
        <v>168</v>
      </c>
      <c r="L49" s="1"/>
      <c r="M49">
        <v>11817</v>
      </c>
      <c r="N49" s="1" t="s">
        <v>32</v>
      </c>
      <c r="O49" s="1" t="s">
        <v>32</v>
      </c>
      <c r="P49" s="10">
        <v>45549</v>
      </c>
      <c r="Q49" s="10">
        <v>45594</v>
      </c>
      <c r="R49" s="10">
        <v>45580</v>
      </c>
      <c r="S49" s="1" t="s">
        <v>92</v>
      </c>
      <c r="T49" s="1" t="s">
        <v>34</v>
      </c>
      <c r="U49">
        <v>45</v>
      </c>
      <c r="V49">
        <v>31</v>
      </c>
      <c r="W49" s="1" t="s">
        <v>57</v>
      </c>
    </row>
    <row r="50" spans="1:23" x14ac:dyDescent="0.25">
      <c r="A50" s="1" t="s">
        <v>185</v>
      </c>
      <c r="B50" s="1" t="s">
        <v>24</v>
      </c>
      <c r="C50" s="1" t="s">
        <v>161</v>
      </c>
      <c r="D50" s="1" t="s">
        <v>72</v>
      </c>
      <c r="E50" s="1" t="s">
        <v>27</v>
      </c>
      <c r="F50" s="1" t="s">
        <v>257</v>
      </c>
      <c r="G50" s="1" t="s">
        <v>140</v>
      </c>
      <c r="H50" s="1"/>
      <c r="I50" s="1" t="s">
        <v>186</v>
      </c>
      <c r="J50" s="1"/>
      <c r="K50" s="1"/>
      <c r="L50" s="1"/>
      <c r="M50">
        <v>8349</v>
      </c>
      <c r="N50" s="1" t="s">
        <v>32</v>
      </c>
      <c r="O50" s="1" t="s">
        <v>32</v>
      </c>
      <c r="P50" s="10">
        <v>45549</v>
      </c>
      <c r="Q50" s="10">
        <v>45594</v>
      </c>
      <c r="R50" s="10">
        <v>45584</v>
      </c>
      <c r="S50" s="1" t="s">
        <v>92</v>
      </c>
      <c r="T50" s="1" t="s">
        <v>34</v>
      </c>
      <c r="U50">
        <v>45</v>
      </c>
      <c r="V50">
        <v>35</v>
      </c>
      <c r="W50" s="1" t="s">
        <v>57</v>
      </c>
    </row>
    <row r="51" spans="1:23" x14ac:dyDescent="0.25">
      <c r="A51" s="1" t="s">
        <v>187</v>
      </c>
      <c r="B51" s="1" t="s">
        <v>24</v>
      </c>
      <c r="C51" s="1" t="s">
        <v>188</v>
      </c>
      <c r="D51" s="1" t="s">
        <v>72</v>
      </c>
      <c r="E51" s="1" t="s">
        <v>27</v>
      </c>
      <c r="F51" s="1" t="s">
        <v>28</v>
      </c>
      <c r="G51" s="1" t="s">
        <v>78</v>
      </c>
      <c r="H51" s="1" t="s">
        <v>116</v>
      </c>
      <c r="I51" s="1" t="s">
        <v>189</v>
      </c>
      <c r="J51" s="1" t="s">
        <v>30</v>
      </c>
      <c r="K51" s="1" t="s">
        <v>108</v>
      </c>
      <c r="L51" s="1"/>
      <c r="M51">
        <v>17886</v>
      </c>
      <c r="N51" s="1" t="s">
        <v>32</v>
      </c>
      <c r="O51" s="1" t="s">
        <v>32</v>
      </c>
      <c r="P51" s="10">
        <v>45549</v>
      </c>
      <c r="Q51" s="10">
        <v>45594</v>
      </c>
      <c r="S51" s="1"/>
      <c r="T51" s="1" t="s">
        <v>90</v>
      </c>
      <c r="U51">
        <v>45</v>
      </c>
      <c r="V51">
        <v>0</v>
      </c>
      <c r="W51" s="1"/>
    </row>
    <row r="52" spans="1:23" x14ac:dyDescent="0.25">
      <c r="A52" s="1" t="s">
        <v>187</v>
      </c>
      <c r="B52" s="1" t="s">
        <v>24</v>
      </c>
      <c r="C52" s="1" t="s">
        <v>188</v>
      </c>
      <c r="D52" s="1" t="s">
        <v>72</v>
      </c>
      <c r="E52" s="1" t="s">
        <v>27</v>
      </c>
      <c r="F52" s="1" t="s">
        <v>28</v>
      </c>
      <c r="G52" s="1" t="s">
        <v>78</v>
      </c>
      <c r="H52" s="1" t="s">
        <v>116</v>
      </c>
      <c r="I52" s="1" t="s">
        <v>189</v>
      </c>
      <c r="J52" s="1" t="s">
        <v>30</v>
      </c>
      <c r="K52" s="1" t="s">
        <v>108</v>
      </c>
      <c r="L52" s="1"/>
      <c r="M52">
        <v>17886</v>
      </c>
      <c r="N52" s="1" t="s">
        <v>32</v>
      </c>
      <c r="O52" s="1" t="s">
        <v>32</v>
      </c>
      <c r="P52" s="10">
        <v>45549</v>
      </c>
      <c r="Q52" s="10">
        <v>45594</v>
      </c>
      <c r="S52" s="1"/>
      <c r="T52" s="1" t="s">
        <v>90</v>
      </c>
      <c r="U52">
        <v>45</v>
      </c>
      <c r="V52">
        <v>0</v>
      </c>
      <c r="W52" s="1"/>
    </row>
    <row r="53" spans="1:23" x14ac:dyDescent="0.25">
      <c r="A53" s="1" t="s">
        <v>190</v>
      </c>
      <c r="B53" s="1" t="s">
        <v>24</v>
      </c>
      <c r="C53" s="1" t="s">
        <v>115</v>
      </c>
      <c r="D53" s="1" t="s">
        <v>72</v>
      </c>
      <c r="E53" s="1" t="s">
        <v>27</v>
      </c>
      <c r="F53" s="1" t="s">
        <v>28</v>
      </c>
      <c r="G53" s="1" t="s">
        <v>78</v>
      </c>
      <c r="H53" s="1" t="s">
        <v>125</v>
      </c>
      <c r="I53" s="1" t="s">
        <v>191</v>
      </c>
      <c r="J53" s="1" t="s">
        <v>30</v>
      </c>
      <c r="K53" s="1" t="s">
        <v>108</v>
      </c>
      <c r="L53" s="1"/>
      <c r="M53">
        <v>10987</v>
      </c>
      <c r="N53" s="1" t="s">
        <v>32</v>
      </c>
      <c r="O53" s="1" t="s">
        <v>32</v>
      </c>
      <c r="P53" s="10">
        <v>45549</v>
      </c>
      <c r="Q53" s="10">
        <v>45594</v>
      </c>
      <c r="R53" s="10">
        <v>45578</v>
      </c>
      <c r="S53" s="1" t="s">
        <v>92</v>
      </c>
      <c r="T53" s="1" t="s">
        <v>34</v>
      </c>
      <c r="U53">
        <v>45</v>
      </c>
      <c r="V53">
        <v>29</v>
      </c>
      <c r="W53" s="1" t="s">
        <v>57</v>
      </c>
    </row>
    <row r="54" spans="1:23" x14ac:dyDescent="0.25">
      <c r="A54" s="1" t="s">
        <v>190</v>
      </c>
      <c r="B54" s="1" t="s">
        <v>24</v>
      </c>
      <c r="C54" s="1" t="s">
        <v>115</v>
      </c>
      <c r="D54" s="1" t="s">
        <v>72</v>
      </c>
      <c r="E54" s="1" t="s">
        <v>27</v>
      </c>
      <c r="F54" s="1" t="s">
        <v>28</v>
      </c>
      <c r="G54" s="1" t="s">
        <v>78</v>
      </c>
      <c r="H54" s="1" t="s">
        <v>125</v>
      </c>
      <c r="I54" s="1" t="s">
        <v>191</v>
      </c>
      <c r="J54" s="1" t="s">
        <v>30</v>
      </c>
      <c r="K54" s="1" t="s">
        <v>108</v>
      </c>
      <c r="L54" s="1"/>
      <c r="M54">
        <v>10987</v>
      </c>
      <c r="N54" s="1" t="s">
        <v>32</v>
      </c>
      <c r="O54" s="1" t="s">
        <v>32</v>
      </c>
      <c r="P54" s="10">
        <v>45549</v>
      </c>
      <c r="Q54" s="10">
        <v>45594</v>
      </c>
      <c r="R54" s="10">
        <v>45578</v>
      </c>
      <c r="S54" s="1" t="s">
        <v>92</v>
      </c>
      <c r="T54" s="1" t="s">
        <v>34</v>
      </c>
      <c r="U54">
        <v>45</v>
      </c>
      <c r="V54">
        <v>29</v>
      </c>
      <c r="W54" s="1" t="s">
        <v>57</v>
      </c>
    </row>
    <row r="55" spans="1:23" x14ac:dyDescent="0.25">
      <c r="A55" s="1" t="s">
        <v>192</v>
      </c>
      <c r="B55" s="1" t="s">
        <v>24</v>
      </c>
      <c r="C55" s="1" t="s">
        <v>193</v>
      </c>
      <c r="D55" s="1" t="s">
        <v>133</v>
      </c>
      <c r="E55" s="1" t="s">
        <v>27</v>
      </c>
      <c r="F55" s="1" t="s">
        <v>257</v>
      </c>
      <c r="G55" s="1" t="s">
        <v>103</v>
      </c>
      <c r="H55" s="1"/>
      <c r="I55" s="1" t="s">
        <v>104</v>
      </c>
      <c r="J55" s="1"/>
      <c r="K55" s="1"/>
      <c r="L55" s="1"/>
      <c r="M55">
        <v>10319</v>
      </c>
      <c r="N55" s="1" t="s">
        <v>32</v>
      </c>
      <c r="O55" s="1" t="s">
        <v>32</v>
      </c>
      <c r="P55" s="10">
        <v>45549</v>
      </c>
      <c r="Q55" s="10">
        <v>45594</v>
      </c>
      <c r="R55" s="10">
        <v>45584</v>
      </c>
      <c r="S55" s="1" t="s">
        <v>92</v>
      </c>
      <c r="T55" s="1" t="s">
        <v>34</v>
      </c>
      <c r="U55">
        <v>45</v>
      </c>
      <c r="V55">
        <v>35</v>
      </c>
      <c r="W55" s="1" t="s">
        <v>57</v>
      </c>
    </row>
    <row r="56" spans="1:23" x14ac:dyDescent="0.25">
      <c r="A56" s="1" t="s">
        <v>194</v>
      </c>
      <c r="B56" s="1" t="s">
        <v>24</v>
      </c>
      <c r="C56" s="1" t="s">
        <v>195</v>
      </c>
      <c r="D56" s="1" t="s">
        <v>196</v>
      </c>
      <c r="E56" s="1" t="s">
        <v>27</v>
      </c>
      <c r="F56" s="1" t="s">
        <v>28</v>
      </c>
      <c r="G56" s="1" t="s">
        <v>45</v>
      </c>
      <c r="H56" s="1" t="s">
        <v>46</v>
      </c>
      <c r="I56" s="1" t="s">
        <v>197</v>
      </c>
      <c r="J56" s="1" t="s">
        <v>61</v>
      </c>
      <c r="K56" s="1" t="s">
        <v>108</v>
      </c>
      <c r="L56" s="1"/>
      <c r="M56">
        <v>12999</v>
      </c>
      <c r="N56" s="1" t="s">
        <v>32</v>
      </c>
      <c r="O56" s="1" t="s">
        <v>32</v>
      </c>
      <c r="P56" s="10">
        <v>45549</v>
      </c>
      <c r="Q56" s="10">
        <v>45616</v>
      </c>
      <c r="R56" s="10">
        <v>45582</v>
      </c>
      <c r="S56" s="1" t="s">
        <v>33</v>
      </c>
      <c r="T56" s="1" t="s">
        <v>34</v>
      </c>
      <c r="U56">
        <v>67</v>
      </c>
      <c r="V56">
        <v>33</v>
      </c>
      <c r="W56" s="1" t="s">
        <v>57</v>
      </c>
    </row>
    <row r="57" spans="1:23" x14ac:dyDescent="0.25">
      <c r="A57" s="1" t="s">
        <v>198</v>
      </c>
      <c r="B57" s="1" t="s">
        <v>24</v>
      </c>
      <c r="C57" s="1" t="s">
        <v>161</v>
      </c>
      <c r="D57" s="1" t="s">
        <v>72</v>
      </c>
      <c r="E57" s="1" t="s">
        <v>27</v>
      </c>
      <c r="F57" s="1" t="s">
        <v>28</v>
      </c>
      <c r="G57" s="1" t="s">
        <v>45</v>
      </c>
      <c r="H57" s="1" t="s">
        <v>59</v>
      </c>
      <c r="I57" s="1" t="s">
        <v>199</v>
      </c>
      <c r="J57" s="1" t="s">
        <v>61</v>
      </c>
      <c r="K57" s="1" t="s">
        <v>60</v>
      </c>
      <c r="L57" s="1"/>
      <c r="M57">
        <v>12399</v>
      </c>
      <c r="N57" s="1" t="s">
        <v>32</v>
      </c>
      <c r="O57" s="1" t="s">
        <v>32</v>
      </c>
      <c r="P57" s="10">
        <v>45549</v>
      </c>
      <c r="Q57" s="10">
        <v>45616</v>
      </c>
      <c r="R57" s="10">
        <v>45566</v>
      </c>
      <c r="S57" s="1" t="s">
        <v>33</v>
      </c>
      <c r="T57" s="1" t="s">
        <v>34</v>
      </c>
      <c r="U57">
        <v>67</v>
      </c>
      <c r="V57">
        <v>17</v>
      </c>
      <c r="W57" s="1" t="s">
        <v>57</v>
      </c>
    </row>
    <row r="58" spans="1:23" x14ac:dyDescent="0.25">
      <c r="A58" s="1" t="s">
        <v>200</v>
      </c>
      <c r="B58" s="1" t="s">
        <v>24</v>
      </c>
      <c r="C58" s="1" t="s">
        <v>102</v>
      </c>
      <c r="D58" s="1" t="s">
        <v>72</v>
      </c>
      <c r="E58" s="1" t="s">
        <v>27</v>
      </c>
      <c r="F58" s="1" t="s">
        <v>28</v>
      </c>
      <c r="G58" s="1" t="s">
        <v>45</v>
      </c>
      <c r="H58" s="1" t="s">
        <v>59</v>
      </c>
      <c r="I58" s="1" t="s">
        <v>201</v>
      </c>
      <c r="J58" s="1" t="s">
        <v>30</v>
      </c>
      <c r="K58" s="1" t="s">
        <v>95</v>
      </c>
      <c r="L58" s="1"/>
      <c r="M58">
        <v>10999</v>
      </c>
      <c r="N58" s="1" t="s">
        <v>32</v>
      </c>
      <c r="O58" s="1" t="s">
        <v>32</v>
      </c>
      <c r="P58" s="10">
        <v>45549</v>
      </c>
      <c r="Q58" s="10">
        <v>45616</v>
      </c>
      <c r="R58" s="10">
        <v>45581</v>
      </c>
      <c r="S58" s="1" t="s">
        <v>92</v>
      </c>
      <c r="T58" s="1" t="s">
        <v>34</v>
      </c>
      <c r="U58">
        <v>67</v>
      </c>
      <c r="V58">
        <v>32</v>
      </c>
      <c r="W58" s="1" t="s">
        <v>57</v>
      </c>
    </row>
    <row r="59" spans="1:23" x14ac:dyDescent="0.25">
      <c r="A59" s="1" t="s">
        <v>202</v>
      </c>
      <c r="B59" s="1" t="s">
        <v>24</v>
      </c>
      <c r="C59" s="1" t="s">
        <v>203</v>
      </c>
      <c r="D59" s="1" t="s">
        <v>204</v>
      </c>
      <c r="E59" s="1" t="s">
        <v>27</v>
      </c>
      <c r="F59" s="1" t="s">
        <v>28</v>
      </c>
      <c r="G59" s="1" t="s">
        <v>45</v>
      </c>
      <c r="H59" s="1" t="s">
        <v>46</v>
      </c>
      <c r="I59" s="1" t="s">
        <v>205</v>
      </c>
      <c r="J59" s="1"/>
      <c r="K59" s="1" t="s">
        <v>95</v>
      </c>
      <c r="L59" s="1"/>
      <c r="M59">
        <v>10999</v>
      </c>
      <c r="N59" s="1" t="s">
        <v>32</v>
      </c>
      <c r="O59" s="1" t="s">
        <v>32</v>
      </c>
      <c r="P59" s="10">
        <v>45550</v>
      </c>
      <c r="Q59" s="10">
        <v>45616</v>
      </c>
      <c r="R59" s="10">
        <v>45581</v>
      </c>
      <c r="S59" s="1" t="s">
        <v>92</v>
      </c>
      <c r="T59" s="1" t="s">
        <v>34</v>
      </c>
      <c r="U59">
        <v>66</v>
      </c>
      <c r="V59">
        <v>31</v>
      </c>
      <c r="W59" s="1" t="s">
        <v>57</v>
      </c>
    </row>
    <row r="60" spans="1:23" x14ac:dyDescent="0.25">
      <c r="A60" s="1" t="s">
        <v>202</v>
      </c>
      <c r="B60" s="1" t="s">
        <v>24</v>
      </c>
      <c r="C60" s="1" t="s">
        <v>203</v>
      </c>
      <c r="D60" s="1" t="s">
        <v>204</v>
      </c>
      <c r="E60" s="1" t="s">
        <v>27</v>
      </c>
      <c r="F60" s="1" t="s">
        <v>28</v>
      </c>
      <c r="G60" s="1" t="s">
        <v>45</v>
      </c>
      <c r="H60" s="1" t="s">
        <v>46</v>
      </c>
      <c r="I60" s="1" t="s">
        <v>205</v>
      </c>
      <c r="J60" s="1"/>
      <c r="K60" s="1" t="s">
        <v>95</v>
      </c>
      <c r="L60" s="1"/>
      <c r="M60">
        <v>10999</v>
      </c>
      <c r="N60" s="1" t="s">
        <v>32</v>
      </c>
      <c r="O60" s="1" t="s">
        <v>32</v>
      </c>
      <c r="P60" s="10">
        <v>45550</v>
      </c>
      <c r="Q60" s="10">
        <v>45616</v>
      </c>
      <c r="R60" s="10">
        <v>45581</v>
      </c>
      <c r="S60" s="1" t="s">
        <v>92</v>
      </c>
      <c r="T60" s="1" t="s">
        <v>34</v>
      </c>
      <c r="U60">
        <v>66</v>
      </c>
      <c r="V60">
        <v>31</v>
      </c>
      <c r="W60" s="1" t="s">
        <v>57</v>
      </c>
    </row>
    <row r="61" spans="1:23" x14ac:dyDescent="0.25">
      <c r="A61" s="1" t="s">
        <v>206</v>
      </c>
      <c r="B61" s="1" t="s">
        <v>24</v>
      </c>
      <c r="C61" s="1" t="s">
        <v>207</v>
      </c>
      <c r="D61" s="1" t="s">
        <v>167</v>
      </c>
      <c r="E61" s="1" t="s">
        <v>27</v>
      </c>
      <c r="F61" s="1" t="s">
        <v>257</v>
      </c>
      <c r="G61" s="1" t="s">
        <v>103</v>
      </c>
      <c r="H61" s="1"/>
      <c r="I61" s="1" t="s">
        <v>205</v>
      </c>
      <c r="J61" s="1"/>
      <c r="K61" s="1"/>
      <c r="L61" s="1"/>
      <c r="M61">
        <v>7849</v>
      </c>
      <c r="N61" s="1" t="s">
        <v>208</v>
      </c>
      <c r="O61" s="1" t="s">
        <v>41</v>
      </c>
      <c r="P61" s="10">
        <v>45551</v>
      </c>
      <c r="Q61" s="10">
        <v>45595</v>
      </c>
      <c r="R61" s="10">
        <v>45610</v>
      </c>
      <c r="S61" s="1" t="s">
        <v>33</v>
      </c>
      <c r="T61" s="1" t="s">
        <v>34</v>
      </c>
      <c r="U61">
        <v>44</v>
      </c>
      <c r="V61">
        <v>59</v>
      </c>
      <c r="W61" s="1" t="s">
        <v>69</v>
      </c>
    </row>
    <row r="62" spans="1:23" x14ac:dyDescent="0.25">
      <c r="A62" s="1" t="s">
        <v>131</v>
      </c>
      <c r="B62" s="1" t="s">
        <v>65</v>
      </c>
      <c r="C62" s="1" t="s">
        <v>209</v>
      </c>
      <c r="D62" s="1" t="s">
        <v>204</v>
      </c>
      <c r="E62" s="1" t="s">
        <v>107</v>
      </c>
      <c r="F62" s="1" t="s">
        <v>28</v>
      </c>
      <c r="G62" s="1" t="s">
        <v>45</v>
      </c>
      <c r="H62" s="1" t="s">
        <v>46</v>
      </c>
      <c r="I62" s="1" t="s">
        <v>205</v>
      </c>
      <c r="J62" s="1"/>
      <c r="K62" s="1" t="s">
        <v>95</v>
      </c>
      <c r="L62" s="1"/>
      <c r="M62">
        <v>5074</v>
      </c>
      <c r="N62" s="1" t="s">
        <v>135</v>
      </c>
      <c r="O62" s="1" t="s">
        <v>135</v>
      </c>
      <c r="P62" s="10">
        <v>45556</v>
      </c>
      <c r="Q62" s="10">
        <v>45570</v>
      </c>
      <c r="R62" s="10">
        <v>45577</v>
      </c>
      <c r="S62" s="1" t="s">
        <v>92</v>
      </c>
      <c r="T62" s="1" t="s">
        <v>34</v>
      </c>
      <c r="U62">
        <v>14</v>
      </c>
      <c r="V62">
        <v>21</v>
      </c>
      <c r="W62" s="1" t="s">
        <v>69</v>
      </c>
    </row>
    <row r="63" spans="1:23" x14ac:dyDescent="0.25">
      <c r="A63" s="1" t="s">
        <v>80</v>
      </c>
      <c r="B63" s="1" t="s">
        <v>65</v>
      </c>
      <c r="C63" s="1" t="s">
        <v>81</v>
      </c>
      <c r="D63" s="1" t="s">
        <v>72</v>
      </c>
      <c r="E63" s="1" t="s">
        <v>80</v>
      </c>
      <c r="F63" s="1" t="s">
        <v>28</v>
      </c>
      <c r="G63" s="1" t="s">
        <v>45</v>
      </c>
      <c r="H63" s="1" t="s">
        <v>46</v>
      </c>
      <c r="I63" s="1" t="s">
        <v>205</v>
      </c>
      <c r="J63" s="1"/>
      <c r="K63" s="1" t="s">
        <v>60</v>
      </c>
      <c r="L63" s="1"/>
      <c r="M63">
        <v>6250</v>
      </c>
      <c r="N63" s="1" t="s">
        <v>135</v>
      </c>
      <c r="O63" s="1" t="s">
        <v>135</v>
      </c>
      <c r="P63" s="10">
        <v>45558</v>
      </c>
      <c r="Q63" s="10">
        <v>45573</v>
      </c>
      <c r="R63" s="10">
        <v>45582</v>
      </c>
      <c r="S63" s="1" t="s">
        <v>92</v>
      </c>
      <c r="T63" s="1" t="s">
        <v>34</v>
      </c>
      <c r="U63">
        <v>15</v>
      </c>
      <c r="V63">
        <v>24</v>
      </c>
      <c r="W63" s="1" t="s">
        <v>69</v>
      </c>
    </row>
    <row r="64" spans="1:23" x14ac:dyDescent="0.25">
      <c r="A64" s="1" t="s">
        <v>80</v>
      </c>
      <c r="B64" s="1" t="s">
        <v>65</v>
      </c>
      <c r="C64" s="1" t="s">
        <v>81</v>
      </c>
      <c r="D64" s="1" t="s">
        <v>72</v>
      </c>
      <c r="E64" s="1" t="s">
        <v>80</v>
      </c>
      <c r="F64" s="1" t="s">
        <v>28</v>
      </c>
      <c r="G64" s="1" t="s">
        <v>45</v>
      </c>
      <c r="H64" s="1" t="s">
        <v>46</v>
      </c>
      <c r="I64" s="1" t="s">
        <v>205</v>
      </c>
      <c r="J64" s="1"/>
      <c r="K64" s="1" t="s">
        <v>60</v>
      </c>
      <c r="L64" s="1"/>
      <c r="M64">
        <v>6250</v>
      </c>
      <c r="N64" s="1" t="s">
        <v>135</v>
      </c>
      <c r="O64" s="1" t="s">
        <v>135</v>
      </c>
      <c r="P64" s="10">
        <v>45558</v>
      </c>
      <c r="Q64" s="10">
        <v>45573</v>
      </c>
      <c r="R64" s="10">
        <v>45582</v>
      </c>
      <c r="S64" s="1" t="s">
        <v>92</v>
      </c>
      <c r="T64" s="1" t="s">
        <v>34</v>
      </c>
      <c r="U64">
        <v>15</v>
      </c>
      <c r="V64">
        <v>24</v>
      </c>
      <c r="W64" s="1" t="s">
        <v>69</v>
      </c>
    </row>
    <row r="65" spans="1:23" x14ac:dyDescent="0.25">
      <c r="A65" s="1" t="s">
        <v>210</v>
      </c>
      <c r="B65" s="1" t="s">
        <v>24</v>
      </c>
      <c r="C65" s="1" t="s">
        <v>81</v>
      </c>
      <c r="D65" s="1" t="s">
        <v>72</v>
      </c>
      <c r="E65" s="1" t="s">
        <v>27</v>
      </c>
      <c r="F65" s="1" t="s">
        <v>28</v>
      </c>
      <c r="G65" s="1" t="s">
        <v>78</v>
      </c>
      <c r="H65" s="1" t="s">
        <v>116</v>
      </c>
      <c r="I65" s="1" t="s">
        <v>205</v>
      </c>
      <c r="J65" s="1"/>
      <c r="K65" s="1" t="s">
        <v>108</v>
      </c>
      <c r="L65" s="1"/>
      <c r="M65">
        <v>8943</v>
      </c>
      <c r="N65" s="1" t="s">
        <v>211</v>
      </c>
      <c r="O65" s="1" t="s">
        <v>41</v>
      </c>
      <c r="P65" s="10">
        <v>45561</v>
      </c>
      <c r="Q65" s="10">
        <v>45606</v>
      </c>
      <c r="R65" s="10">
        <v>45575</v>
      </c>
      <c r="S65" s="1" t="s">
        <v>92</v>
      </c>
      <c r="T65" s="1" t="s">
        <v>34</v>
      </c>
      <c r="U65">
        <v>45</v>
      </c>
      <c r="V65">
        <v>14</v>
      </c>
      <c r="W65" s="1" t="s">
        <v>57</v>
      </c>
    </row>
    <row r="66" spans="1:23" x14ac:dyDescent="0.25">
      <c r="A66" s="1" t="s">
        <v>212</v>
      </c>
      <c r="B66" s="1" t="s">
        <v>24</v>
      </c>
      <c r="C66" s="1" t="s">
        <v>213</v>
      </c>
      <c r="D66" s="1" t="s">
        <v>26</v>
      </c>
      <c r="E66" s="1" t="s">
        <v>27</v>
      </c>
      <c r="F66" s="1" t="s">
        <v>257</v>
      </c>
      <c r="G66" s="1" t="s">
        <v>140</v>
      </c>
      <c r="H66" s="1"/>
      <c r="I66" s="1" t="s">
        <v>205</v>
      </c>
      <c r="J66" s="1"/>
      <c r="K66" s="1"/>
      <c r="L66" s="1"/>
      <c r="M66">
        <v>8349</v>
      </c>
      <c r="N66" s="1" t="s">
        <v>214</v>
      </c>
      <c r="O66" s="1" t="s">
        <v>41</v>
      </c>
      <c r="P66" s="10">
        <v>45561</v>
      </c>
      <c r="Q66" s="10">
        <v>45606</v>
      </c>
      <c r="S66" s="1"/>
      <c r="T66" s="1" t="s">
        <v>90</v>
      </c>
      <c r="U66">
        <v>45</v>
      </c>
      <c r="V66">
        <v>0</v>
      </c>
      <c r="W66" s="1"/>
    </row>
    <row r="67" spans="1:23" x14ac:dyDescent="0.25">
      <c r="A67" s="1" t="s">
        <v>64</v>
      </c>
      <c r="B67" s="1" t="s">
        <v>65</v>
      </c>
      <c r="C67" s="1"/>
      <c r="D67" s="1" t="s">
        <v>205</v>
      </c>
      <c r="E67" s="1" t="s">
        <v>64</v>
      </c>
      <c r="F67" s="1" t="s">
        <v>28</v>
      </c>
      <c r="G67" s="1" t="s">
        <v>45</v>
      </c>
      <c r="H67" s="1" t="s">
        <v>46</v>
      </c>
      <c r="I67" s="1" t="s">
        <v>205</v>
      </c>
      <c r="J67" s="1"/>
      <c r="K67" s="1" t="s">
        <v>60</v>
      </c>
      <c r="L67" s="1"/>
      <c r="M67">
        <v>9208</v>
      </c>
      <c r="N67" s="1" t="s">
        <v>215</v>
      </c>
      <c r="O67" s="1" t="s">
        <v>41</v>
      </c>
      <c r="P67" s="10">
        <v>45561</v>
      </c>
      <c r="Q67" s="10">
        <v>45579</v>
      </c>
      <c r="S67" s="1"/>
      <c r="T67" s="1" t="s">
        <v>90</v>
      </c>
      <c r="U67">
        <v>18</v>
      </c>
      <c r="V67">
        <v>0</v>
      </c>
      <c r="W67" s="1"/>
    </row>
    <row r="68" spans="1:23" x14ac:dyDescent="0.25">
      <c r="A68" s="1" t="s">
        <v>64</v>
      </c>
      <c r="B68" s="1" t="s">
        <v>65</v>
      </c>
      <c r="C68" s="1"/>
      <c r="D68" s="1" t="s">
        <v>205</v>
      </c>
      <c r="E68" s="1" t="s">
        <v>64</v>
      </c>
      <c r="F68" s="1" t="s">
        <v>28</v>
      </c>
      <c r="G68" s="1" t="s">
        <v>78</v>
      </c>
      <c r="H68" s="1" t="s">
        <v>125</v>
      </c>
      <c r="I68" s="1" t="s">
        <v>205</v>
      </c>
      <c r="J68" s="1"/>
      <c r="K68" s="1" t="s">
        <v>108</v>
      </c>
      <c r="L68" s="1"/>
      <c r="M68">
        <v>7433</v>
      </c>
      <c r="N68" s="1" t="s">
        <v>32</v>
      </c>
      <c r="O68" s="1" t="s">
        <v>32</v>
      </c>
      <c r="P68" s="10">
        <v>45564</v>
      </c>
      <c r="Q68" s="10">
        <v>45585</v>
      </c>
      <c r="R68" s="10">
        <v>45586</v>
      </c>
      <c r="S68" s="1" t="s">
        <v>92</v>
      </c>
      <c r="T68" s="1" t="s">
        <v>34</v>
      </c>
      <c r="U68">
        <v>21</v>
      </c>
      <c r="V68">
        <v>22</v>
      </c>
      <c r="W68" s="1" t="s">
        <v>69</v>
      </c>
    </row>
    <row r="69" spans="1:23" x14ac:dyDescent="0.25">
      <c r="A69" s="1" t="s">
        <v>131</v>
      </c>
      <c r="B69" s="1" t="s">
        <v>65</v>
      </c>
      <c r="C69" s="1" t="s">
        <v>209</v>
      </c>
      <c r="D69" s="1" t="s">
        <v>204</v>
      </c>
      <c r="E69" s="1" t="s">
        <v>107</v>
      </c>
      <c r="F69" s="1" t="s">
        <v>28</v>
      </c>
      <c r="G69" s="1" t="s">
        <v>78</v>
      </c>
      <c r="H69" s="1" t="s">
        <v>116</v>
      </c>
      <c r="I69" s="1" t="s">
        <v>205</v>
      </c>
      <c r="J69" s="1"/>
      <c r="K69" s="1" t="s">
        <v>108</v>
      </c>
      <c r="L69" s="1"/>
      <c r="M69">
        <v>4020</v>
      </c>
      <c r="N69" s="1" t="s">
        <v>135</v>
      </c>
      <c r="O69" s="1" t="s">
        <v>135</v>
      </c>
      <c r="P69" s="10">
        <v>45564</v>
      </c>
      <c r="Q69" s="10">
        <v>45577</v>
      </c>
      <c r="R69" s="10">
        <v>45577</v>
      </c>
      <c r="S69" s="1" t="s">
        <v>92</v>
      </c>
      <c r="T69" s="1" t="s">
        <v>34</v>
      </c>
      <c r="U69">
        <v>13</v>
      </c>
      <c r="V69">
        <v>13</v>
      </c>
      <c r="W69" s="1" t="s">
        <v>57</v>
      </c>
    </row>
    <row r="70" spans="1:23" x14ac:dyDescent="0.25">
      <c r="A70" s="1" t="s">
        <v>216</v>
      </c>
      <c r="B70" s="1" t="s">
        <v>24</v>
      </c>
      <c r="C70" s="1" t="s">
        <v>167</v>
      </c>
      <c r="D70" s="1" t="s">
        <v>167</v>
      </c>
      <c r="E70" s="1" t="s">
        <v>167</v>
      </c>
      <c r="F70" s="1" t="s">
        <v>28</v>
      </c>
      <c r="G70" s="1" t="s">
        <v>45</v>
      </c>
      <c r="H70" s="1" t="s">
        <v>217</v>
      </c>
      <c r="I70" s="1" t="s">
        <v>205</v>
      </c>
      <c r="J70" s="1"/>
      <c r="K70" s="1" t="s">
        <v>60</v>
      </c>
      <c r="L70" s="1"/>
      <c r="M70">
        <v>8544.9054400000005</v>
      </c>
      <c r="N70" s="1"/>
      <c r="O70" s="1"/>
      <c r="P70" s="10">
        <v>45566</v>
      </c>
      <c r="Q70" s="10">
        <v>45574</v>
      </c>
      <c r="R70" s="10">
        <v>45574</v>
      </c>
      <c r="S70" s="1" t="s">
        <v>218</v>
      </c>
      <c r="T70" s="1" t="s">
        <v>34</v>
      </c>
      <c r="U70">
        <v>8</v>
      </c>
      <c r="V70">
        <v>8</v>
      </c>
      <c r="W70" s="1" t="s">
        <v>57</v>
      </c>
    </row>
    <row r="71" spans="1:23" x14ac:dyDescent="0.25">
      <c r="A71" s="1" t="s">
        <v>219</v>
      </c>
      <c r="B71" s="1" t="s">
        <v>24</v>
      </c>
      <c r="C71" s="1" t="s">
        <v>115</v>
      </c>
      <c r="D71" s="1" t="s">
        <v>72</v>
      </c>
      <c r="E71" s="1" t="s">
        <v>27</v>
      </c>
      <c r="F71" s="1" t="s">
        <v>28</v>
      </c>
      <c r="G71" s="1" t="s">
        <v>45</v>
      </c>
      <c r="H71" s="1" t="s">
        <v>59</v>
      </c>
      <c r="I71" s="1" t="s">
        <v>205</v>
      </c>
      <c r="J71" s="1"/>
      <c r="K71" s="1" t="s">
        <v>220</v>
      </c>
      <c r="L71" s="1"/>
      <c r="M71">
        <v>12899</v>
      </c>
      <c r="N71" s="1" t="s">
        <v>221</v>
      </c>
      <c r="O71" s="1" t="s">
        <v>41</v>
      </c>
      <c r="P71" s="10">
        <v>45578</v>
      </c>
      <c r="Q71" s="10">
        <v>45643</v>
      </c>
      <c r="R71" s="10">
        <v>45598</v>
      </c>
      <c r="S71" s="1" t="s">
        <v>92</v>
      </c>
      <c r="T71" s="1" t="s">
        <v>34</v>
      </c>
      <c r="U71">
        <v>65</v>
      </c>
      <c r="V71">
        <v>20</v>
      </c>
      <c r="W71" s="1" t="s">
        <v>57</v>
      </c>
    </row>
    <row r="72" spans="1:23" x14ac:dyDescent="0.25">
      <c r="A72" s="1" t="s">
        <v>222</v>
      </c>
      <c r="B72" s="1" t="s">
        <v>24</v>
      </c>
      <c r="C72" s="1" t="s">
        <v>94</v>
      </c>
      <c r="D72" s="1" t="s">
        <v>72</v>
      </c>
      <c r="E72" s="1" t="s">
        <v>27</v>
      </c>
      <c r="F72" s="1" t="s">
        <v>28</v>
      </c>
      <c r="G72" s="1" t="s">
        <v>45</v>
      </c>
      <c r="H72" s="1" t="s">
        <v>46</v>
      </c>
      <c r="I72" s="1" t="s">
        <v>205</v>
      </c>
      <c r="J72" s="1"/>
      <c r="K72" s="1" t="s">
        <v>95</v>
      </c>
      <c r="L72" s="1"/>
      <c r="M72">
        <v>10499</v>
      </c>
      <c r="N72" s="1" t="s">
        <v>32</v>
      </c>
      <c r="O72" s="1" t="s">
        <v>32</v>
      </c>
      <c r="P72" s="10">
        <v>45581</v>
      </c>
      <c r="Q72" s="10">
        <v>45645</v>
      </c>
      <c r="R72" s="10">
        <v>45586</v>
      </c>
      <c r="S72" s="1" t="s">
        <v>92</v>
      </c>
      <c r="T72" s="1" t="s">
        <v>34</v>
      </c>
      <c r="U72">
        <v>64</v>
      </c>
      <c r="V72">
        <v>5</v>
      </c>
      <c r="W72" s="1" t="s">
        <v>57</v>
      </c>
    </row>
    <row r="73" spans="1:23" x14ac:dyDescent="0.25">
      <c r="A73" s="1" t="s">
        <v>223</v>
      </c>
      <c r="B73" s="1" t="s">
        <v>24</v>
      </c>
      <c r="C73" s="1" t="s">
        <v>224</v>
      </c>
      <c r="D73" s="1" t="s">
        <v>37</v>
      </c>
      <c r="E73" s="1" t="s">
        <v>27</v>
      </c>
      <c r="F73" s="1" t="s">
        <v>28</v>
      </c>
      <c r="G73" s="1" t="s">
        <v>45</v>
      </c>
      <c r="H73" s="1" t="s">
        <v>59</v>
      </c>
      <c r="I73" s="1" t="s">
        <v>205</v>
      </c>
      <c r="J73" s="1"/>
      <c r="K73" s="1" t="s">
        <v>225</v>
      </c>
      <c r="L73" s="1"/>
      <c r="M73">
        <v>12899</v>
      </c>
      <c r="N73" s="1" t="s">
        <v>32</v>
      </c>
      <c r="O73" s="1" t="s">
        <v>32</v>
      </c>
      <c r="P73" s="10">
        <v>45582</v>
      </c>
      <c r="Q73" s="10">
        <v>45648</v>
      </c>
      <c r="R73" s="10">
        <v>45629</v>
      </c>
      <c r="S73" s="1" t="s">
        <v>33</v>
      </c>
      <c r="T73" s="1" t="s">
        <v>34</v>
      </c>
      <c r="U73">
        <v>66</v>
      </c>
      <c r="V73">
        <v>47</v>
      </c>
      <c r="W73" s="1" t="s">
        <v>57</v>
      </c>
    </row>
    <row r="74" spans="1:23" x14ac:dyDescent="0.25">
      <c r="A74" s="1" t="s">
        <v>64</v>
      </c>
      <c r="B74" s="1" t="s">
        <v>65</v>
      </c>
      <c r="C74" s="1" t="s">
        <v>213</v>
      </c>
      <c r="D74" s="1" t="s">
        <v>26</v>
      </c>
      <c r="E74" s="1" t="s">
        <v>64</v>
      </c>
      <c r="F74" s="1" t="s">
        <v>28</v>
      </c>
      <c r="G74" s="1" t="s">
        <v>45</v>
      </c>
      <c r="H74" s="1" t="s">
        <v>217</v>
      </c>
      <c r="I74" s="1" t="s">
        <v>205</v>
      </c>
      <c r="J74" s="1"/>
      <c r="K74" s="1" t="s">
        <v>60</v>
      </c>
      <c r="L74" s="1"/>
      <c r="M74">
        <v>12777.5</v>
      </c>
      <c r="N74" s="1" t="s">
        <v>226</v>
      </c>
      <c r="O74" s="1" t="s">
        <v>41</v>
      </c>
      <c r="P74" s="10">
        <v>45587</v>
      </c>
      <c r="Q74" s="10">
        <v>45608</v>
      </c>
      <c r="R74" s="10">
        <v>45614</v>
      </c>
      <c r="S74" s="1" t="s">
        <v>92</v>
      </c>
      <c r="T74" s="1" t="s">
        <v>34</v>
      </c>
      <c r="U74">
        <v>21</v>
      </c>
      <c r="V74">
        <v>27</v>
      </c>
      <c r="W74" s="1" t="s">
        <v>69</v>
      </c>
    </row>
    <row r="75" spans="1:23" x14ac:dyDescent="0.25">
      <c r="A75" s="1" t="s">
        <v>64</v>
      </c>
      <c r="B75" s="1" t="s">
        <v>65</v>
      </c>
      <c r="C75" s="1" t="s">
        <v>213</v>
      </c>
      <c r="D75" s="1" t="s">
        <v>26</v>
      </c>
      <c r="E75" s="1" t="s">
        <v>64</v>
      </c>
      <c r="F75" s="1" t="s">
        <v>28</v>
      </c>
      <c r="G75" s="1" t="s">
        <v>45</v>
      </c>
      <c r="H75" s="1" t="s">
        <v>217</v>
      </c>
      <c r="I75" s="1" t="s">
        <v>205</v>
      </c>
      <c r="J75" s="1"/>
      <c r="K75" s="1" t="s">
        <v>60</v>
      </c>
      <c r="L75" s="1"/>
      <c r="M75">
        <v>12777.5</v>
      </c>
      <c r="N75" s="1" t="s">
        <v>226</v>
      </c>
      <c r="O75" s="1" t="s">
        <v>41</v>
      </c>
      <c r="P75" s="10">
        <v>45587</v>
      </c>
      <c r="Q75" s="10">
        <v>45608</v>
      </c>
      <c r="R75" s="10">
        <v>45614</v>
      </c>
      <c r="S75" s="1" t="s">
        <v>92</v>
      </c>
      <c r="T75" s="1" t="s">
        <v>34</v>
      </c>
      <c r="U75">
        <v>21</v>
      </c>
      <c r="V75">
        <v>27</v>
      </c>
      <c r="W75" s="1" t="s">
        <v>69</v>
      </c>
    </row>
    <row r="76" spans="1:23" x14ac:dyDescent="0.25">
      <c r="A76" s="1" t="s">
        <v>131</v>
      </c>
      <c r="B76" s="1" t="s">
        <v>65</v>
      </c>
      <c r="C76" s="1" t="s">
        <v>227</v>
      </c>
      <c r="D76" s="1" t="s">
        <v>72</v>
      </c>
      <c r="E76" s="1" t="s">
        <v>107</v>
      </c>
      <c r="F76" s="1" t="s">
        <v>28</v>
      </c>
      <c r="G76" s="1" t="s">
        <v>45</v>
      </c>
      <c r="H76" s="1" t="s">
        <v>217</v>
      </c>
      <c r="I76" s="1" t="s">
        <v>205</v>
      </c>
      <c r="J76" s="1"/>
      <c r="K76" s="1" t="s">
        <v>60</v>
      </c>
      <c r="L76" s="1"/>
      <c r="M76">
        <v>8544.91</v>
      </c>
      <c r="N76" s="1" t="s">
        <v>135</v>
      </c>
      <c r="O76" s="1" t="s">
        <v>135</v>
      </c>
      <c r="P76" s="10">
        <v>45587</v>
      </c>
      <c r="S76" s="1"/>
      <c r="T76" s="1" t="s">
        <v>90</v>
      </c>
      <c r="U76">
        <v>0</v>
      </c>
      <c r="V76">
        <v>0</v>
      </c>
      <c r="W76" s="1"/>
    </row>
    <row r="77" spans="1:23" x14ac:dyDescent="0.25">
      <c r="A77" s="1" t="s">
        <v>228</v>
      </c>
      <c r="B77" s="1" t="s">
        <v>24</v>
      </c>
      <c r="C77" s="1" t="s">
        <v>229</v>
      </c>
      <c r="D77" s="1" t="s">
        <v>26</v>
      </c>
      <c r="E77" s="1" t="s">
        <v>27</v>
      </c>
      <c r="F77" s="1" t="s">
        <v>28</v>
      </c>
      <c r="G77" s="1" t="s">
        <v>78</v>
      </c>
      <c r="H77" s="1" t="s">
        <v>116</v>
      </c>
      <c r="I77" s="1" t="s">
        <v>205</v>
      </c>
      <c r="J77" s="1"/>
      <c r="K77" s="1" t="s">
        <v>108</v>
      </c>
      <c r="L77" s="1"/>
      <c r="M77">
        <v>8943</v>
      </c>
      <c r="N77" s="1" t="s">
        <v>230</v>
      </c>
      <c r="O77" s="1" t="s">
        <v>41</v>
      </c>
      <c r="P77" s="10">
        <v>45586</v>
      </c>
      <c r="Q77" s="10">
        <v>45610</v>
      </c>
      <c r="R77" s="10">
        <v>45614</v>
      </c>
      <c r="S77" s="1" t="s">
        <v>92</v>
      </c>
      <c r="T77" s="1" t="s">
        <v>34</v>
      </c>
      <c r="U77">
        <v>24</v>
      </c>
      <c r="V77">
        <v>28</v>
      </c>
      <c r="W77" s="1" t="s">
        <v>69</v>
      </c>
    </row>
    <row r="78" spans="1:23" x14ac:dyDescent="0.25">
      <c r="A78" s="1" t="s">
        <v>64</v>
      </c>
      <c r="B78" s="1" t="s">
        <v>65</v>
      </c>
      <c r="C78" s="1"/>
      <c r="D78" s="1" t="s">
        <v>205</v>
      </c>
      <c r="E78" s="1" t="s">
        <v>64</v>
      </c>
      <c r="F78" s="1" t="s">
        <v>231</v>
      </c>
      <c r="G78" s="1" t="s">
        <v>232</v>
      </c>
      <c r="H78" s="1"/>
      <c r="I78" s="1" t="s">
        <v>205</v>
      </c>
      <c r="J78" s="1"/>
      <c r="K78" s="1"/>
      <c r="L78" s="1"/>
      <c r="M78">
        <v>15516</v>
      </c>
      <c r="N78" s="1" t="s">
        <v>32</v>
      </c>
      <c r="O78" s="1" t="s">
        <v>32</v>
      </c>
      <c r="P78" s="10">
        <v>45589</v>
      </c>
      <c r="Q78" s="10">
        <v>45610</v>
      </c>
      <c r="R78" s="10">
        <v>45595</v>
      </c>
      <c r="S78" s="1" t="s">
        <v>92</v>
      </c>
      <c r="T78" s="1" t="s">
        <v>34</v>
      </c>
      <c r="U78">
        <v>21</v>
      </c>
      <c r="V78">
        <v>6</v>
      </c>
      <c r="W78" s="1" t="s">
        <v>57</v>
      </c>
    </row>
    <row r="79" spans="1:23" x14ac:dyDescent="0.25">
      <c r="A79" s="1" t="s">
        <v>64</v>
      </c>
      <c r="B79" s="1" t="s">
        <v>65</v>
      </c>
      <c r="C79" s="1"/>
      <c r="D79" s="1" t="s">
        <v>205</v>
      </c>
      <c r="E79" s="1" t="s">
        <v>64</v>
      </c>
      <c r="F79" s="1" t="s">
        <v>28</v>
      </c>
      <c r="G79" s="1" t="s">
        <v>45</v>
      </c>
      <c r="H79" s="1" t="s">
        <v>46</v>
      </c>
      <c r="I79" s="1" t="s">
        <v>205</v>
      </c>
      <c r="J79" s="1"/>
      <c r="K79" s="1" t="s">
        <v>60</v>
      </c>
      <c r="L79" s="1"/>
      <c r="M79">
        <v>10045</v>
      </c>
      <c r="N79" s="1" t="s">
        <v>233</v>
      </c>
      <c r="O79" s="1" t="s">
        <v>41</v>
      </c>
      <c r="P79" s="10">
        <v>45591</v>
      </c>
      <c r="Q79" s="10">
        <v>45612</v>
      </c>
      <c r="S79" s="1"/>
      <c r="T79" s="1" t="s">
        <v>90</v>
      </c>
      <c r="U79">
        <v>21</v>
      </c>
      <c r="V79">
        <v>0</v>
      </c>
      <c r="W79" s="1"/>
    </row>
    <row r="80" spans="1:23" x14ac:dyDescent="0.25">
      <c r="A80" s="1" t="s">
        <v>190</v>
      </c>
      <c r="B80" s="1" t="s">
        <v>24</v>
      </c>
      <c r="C80" s="1" t="s">
        <v>234</v>
      </c>
      <c r="D80" s="1" t="s">
        <v>26</v>
      </c>
      <c r="E80" s="1" t="s">
        <v>27</v>
      </c>
      <c r="F80" s="1" t="s">
        <v>28</v>
      </c>
      <c r="G80" s="1" t="s">
        <v>45</v>
      </c>
      <c r="H80" s="1" t="s">
        <v>46</v>
      </c>
      <c r="I80" s="1" t="s">
        <v>205</v>
      </c>
      <c r="J80" s="1"/>
      <c r="K80" s="1" t="s">
        <v>47</v>
      </c>
      <c r="L80" s="1"/>
      <c r="M80">
        <v>11649</v>
      </c>
      <c r="N80" s="1" t="s">
        <v>235</v>
      </c>
      <c r="O80" s="1" t="s">
        <v>41</v>
      </c>
      <c r="P80" s="10">
        <v>45591</v>
      </c>
      <c r="Q80" s="10">
        <v>45606</v>
      </c>
      <c r="R80" s="10">
        <v>45614</v>
      </c>
      <c r="S80" s="1" t="s">
        <v>92</v>
      </c>
      <c r="T80" s="1" t="s">
        <v>34</v>
      </c>
      <c r="U80">
        <v>15</v>
      </c>
      <c r="V80">
        <v>23</v>
      </c>
      <c r="W80" s="1" t="s">
        <v>69</v>
      </c>
    </row>
    <row r="81" spans="1:23" x14ac:dyDescent="0.25">
      <c r="A81" s="1" t="s">
        <v>190</v>
      </c>
      <c r="B81" s="1" t="s">
        <v>24</v>
      </c>
      <c r="C81" s="1" t="s">
        <v>234</v>
      </c>
      <c r="D81" s="1" t="s">
        <v>26</v>
      </c>
      <c r="E81" s="1" t="s">
        <v>27</v>
      </c>
      <c r="F81" s="1" t="s">
        <v>28</v>
      </c>
      <c r="G81" s="1" t="s">
        <v>45</v>
      </c>
      <c r="H81" s="1" t="s">
        <v>46</v>
      </c>
      <c r="I81" s="1" t="s">
        <v>205</v>
      </c>
      <c r="J81" s="1"/>
      <c r="K81" s="1" t="s">
        <v>47</v>
      </c>
      <c r="L81" s="1"/>
      <c r="M81">
        <v>11649</v>
      </c>
      <c r="N81" s="1" t="s">
        <v>235</v>
      </c>
      <c r="O81" s="1" t="s">
        <v>41</v>
      </c>
      <c r="P81" s="10">
        <v>45591</v>
      </c>
      <c r="Q81" s="10">
        <v>45606</v>
      </c>
      <c r="R81" s="10">
        <v>45614</v>
      </c>
      <c r="S81" s="1" t="s">
        <v>92</v>
      </c>
      <c r="T81" s="1" t="s">
        <v>34</v>
      </c>
      <c r="U81">
        <v>15</v>
      </c>
      <c r="V81">
        <v>23</v>
      </c>
      <c r="W81" s="1" t="s">
        <v>69</v>
      </c>
    </row>
    <row r="82" spans="1:23" x14ac:dyDescent="0.25">
      <c r="A82" s="1" t="s">
        <v>236</v>
      </c>
      <c r="B82" s="1" t="s">
        <v>24</v>
      </c>
      <c r="C82" s="1" t="s">
        <v>123</v>
      </c>
      <c r="D82" s="1" t="s">
        <v>72</v>
      </c>
      <c r="E82" s="1" t="s">
        <v>27</v>
      </c>
      <c r="F82" s="1" t="s">
        <v>28</v>
      </c>
      <c r="G82" s="1" t="s">
        <v>78</v>
      </c>
      <c r="H82" s="1" t="s">
        <v>125</v>
      </c>
      <c r="I82" s="1" t="s">
        <v>205</v>
      </c>
      <c r="J82" s="1"/>
      <c r="K82" s="1" t="s">
        <v>60</v>
      </c>
      <c r="L82" s="1"/>
      <c r="M82">
        <v>5100</v>
      </c>
      <c r="N82" s="1" t="s">
        <v>237</v>
      </c>
      <c r="O82" s="1" t="s">
        <v>41</v>
      </c>
      <c r="P82" s="10">
        <v>45593</v>
      </c>
      <c r="Q82" s="10">
        <v>45607</v>
      </c>
      <c r="R82" s="10">
        <v>45617</v>
      </c>
      <c r="S82" s="1" t="s">
        <v>92</v>
      </c>
      <c r="T82" s="1" t="s">
        <v>34</v>
      </c>
      <c r="U82">
        <v>14</v>
      </c>
      <c r="V82">
        <v>24</v>
      </c>
      <c r="W82" s="1" t="s">
        <v>69</v>
      </c>
    </row>
    <row r="83" spans="1:23" x14ac:dyDescent="0.25">
      <c r="A83" s="1" t="s">
        <v>236</v>
      </c>
      <c r="B83" s="1" t="s">
        <v>24</v>
      </c>
      <c r="C83" s="1" t="s">
        <v>123</v>
      </c>
      <c r="D83" s="1" t="s">
        <v>72</v>
      </c>
      <c r="E83" s="1" t="s">
        <v>27</v>
      </c>
      <c r="F83" s="1" t="s">
        <v>28</v>
      </c>
      <c r="G83" s="1" t="s">
        <v>78</v>
      </c>
      <c r="H83" s="1" t="s">
        <v>125</v>
      </c>
      <c r="I83" s="1" t="s">
        <v>205</v>
      </c>
      <c r="J83" s="1"/>
      <c r="K83" s="1" t="s">
        <v>108</v>
      </c>
      <c r="L83" s="1"/>
      <c r="M83">
        <v>5300</v>
      </c>
      <c r="N83" s="1" t="s">
        <v>237</v>
      </c>
      <c r="O83" s="1" t="s">
        <v>41</v>
      </c>
      <c r="P83" s="10">
        <v>45593</v>
      </c>
      <c r="Q83" s="10">
        <v>45607</v>
      </c>
      <c r="R83" s="10">
        <v>45617</v>
      </c>
      <c r="S83" s="1" t="s">
        <v>92</v>
      </c>
      <c r="T83" s="1" t="s">
        <v>34</v>
      </c>
      <c r="U83">
        <v>14</v>
      </c>
      <c r="V83">
        <v>24</v>
      </c>
      <c r="W83" s="1" t="s">
        <v>69</v>
      </c>
    </row>
    <row r="84" spans="1:23" x14ac:dyDescent="0.25">
      <c r="A84" s="1" t="s">
        <v>238</v>
      </c>
      <c r="B84" s="1" t="s">
        <v>24</v>
      </c>
      <c r="C84" s="1" t="s">
        <v>239</v>
      </c>
      <c r="D84" s="1" t="s">
        <v>72</v>
      </c>
      <c r="E84" s="1" t="s">
        <v>27</v>
      </c>
      <c r="F84" s="1" t="s">
        <v>28</v>
      </c>
      <c r="G84" s="1" t="s">
        <v>45</v>
      </c>
      <c r="H84" s="1" t="s">
        <v>46</v>
      </c>
      <c r="I84" s="1" t="s">
        <v>205</v>
      </c>
      <c r="J84" s="1"/>
      <c r="K84" s="1" t="s">
        <v>95</v>
      </c>
      <c r="L84" s="1"/>
      <c r="M84">
        <v>12099</v>
      </c>
      <c r="N84" s="1" t="s">
        <v>32</v>
      </c>
      <c r="O84" s="1" t="s">
        <v>32</v>
      </c>
      <c r="P84" s="10">
        <v>45607</v>
      </c>
      <c r="Q84" s="10">
        <v>45622</v>
      </c>
      <c r="R84" s="10">
        <v>45623</v>
      </c>
      <c r="S84" s="1" t="s">
        <v>92</v>
      </c>
      <c r="T84" s="1" t="s">
        <v>34</v>
      </c>
      <c r="U84">
        <v>15</v>
      </c>
      <c r="V84">
        <v>16</v>
      </c>
      <c r="W84" s="1" t="s">
        <v>69</v>
      </c>
    </row>
    <row r="85" spans="1:23" x14ac:dyDescent="0.25">
      <c r="A85" s="1" t="s">
        <v>240</v>
      </c>
      <c r="B85" s="1" t="s">
        <v>24</v>
      </c>
      <c r="C85" s="1" t="s">
        <v>71</v>
      </c>
      <c r="D85" s="1" t="s">
        <v>72</v>
      </c>
      <c r="E85" s="1" t="s">
        <v>240</v>
      </c>
      <c r="F85" s="1" t="s">
        <v>28</v>
      </c>
      <c r="G85" s="1" t="s">
        <v>78</v>
      </c>
      <c r="H85" s="1" t="s">
        <v>116</v>
      </c>
      <c r="I85" s="1" t="s">
        <v>205</v>
      </c>
      <c r="J85" s="1"/>
      <c r="K85" s="1" t="s">
        <v>108</v>
      </c>
      <c r="L85" s="1"/>
      <c r="M85">
        <v>4520</v>
      </c>
      <c r="N85" s="1" t="s">
        <v>135</v>
      </c>
      <c r="O85" s="1" t="s">
        <v>135</v>
      </c>
      <c r="P85" s="10">
        <v>45606</v>
      </c>
      <c r="Q85" s="10">
        <v>45618</v>
      </c>
      <c r="R85" s="10">
        <v>45617</v>
      </c>
      <c r="S85" s="1" t="s">
        <v>92</v>
      </c>
      <c r="T85" s="1" t="s">
        <v>34</v>
      </c>
      <c r="U85">
        <v>12</v>
      </c>
      <c r="V85">
        <v>11</v>
      </c>
      <c r="W85" s="1" t="s">
        <v>57</v>
      </c>
    </row>
    <row r="86" spans="1:23" x14ac:dyDescent="0.25">
      <c r="A86" s="1" t="s">
        <v>131</v>
      </c>
      <c r="B86" s="1" t="s">
        <v>65</v>
      </c>
      <c r="C86" s="1" t="s">
        <v>209</v>
      </c>
      <c r="D86" s="1" t="s">
        <v>204</v>
      </c>
      <c r="E86" s="1" t="s">
        <v>107</v>
      </c>
      <c r="F86" s="1" t="s">
        <v>28</v>
      </c>
      <c r="G86" s="1" t="s">
        <v>45</v>
      </c>
      <c r="H86" s="1" t="s">
        <v>46</v>
      </c>
      <c r="I86" s="1" t="s">
        <v>205</v>
      </c>
      <c r="J86" s="1"/>
      <c r="K86" s="1" t="s">
        <v>47</v>
      </c>
      <c r="L86" s="1"/>
      <c r="M86">
        <v>5766</v>
      </c>
      <c r="N86" s="1" t="s">
        <v>135</v>
      </c>
      <c r="O86" s="1" t="s">
        <v>135</v>
      </c>
      <c r="P86" s="10">
        <v>45608</v>
      </c>
      <c r="Q86" s="10">
        <v>45622</v>
      </c>
      <c r="R86" s="10">
        <v>45621</v>
      </c>
      <c r="S86" s="1" t="s">
        <v>92</v>
      </c>
      <c r="T86" s="1" t="s">
        <v>34</v>
      </c>
      <c r="U86">
        <v>14</v>
      </c>
      <c r="V86">
        <v>13</v>
      </c>
      <c r="W86" s="1" t="s">
        <v>57</v>
      </c>
    </row>
    <row r="87" spans="1:23" x14ac:dyDescent="0.25">
      <c r="A87" s="1" t="s">
        <v>241</v>
      </c>
      <c r="B87" s="1" t="s">
        <v>24</v>
      </c>
      <c r="C87" s="1" t="s">
        <v>123</v>
      </c>
      <c r="D87" s="1" t="s">
        <v>72</v>
      </c>
      <c r="E87" s="1" t="s">
        <v>27</v>
      </c>
      <c r="F87" s="1" t="s">
        <v>28</v>
      </c>
      <c r="G87" s="1" t="s">
        <v>78</v>
      </c>
      <c r="H87" s="1" t="s">
        <v>116</v>
      </c>
      <c r="I87" s="1" t="s">
        <v>205</v>
      </c>
      <c r="J87" s="1"/>
      <c r="K87" s="1" t="s">
        <v>242</v>
      </c>
      <c r="L87" s="1"/>
      <c r="M87">
        <v>11395</v>
      </c>
      <c r="N87" s="1" t="s">
        <v>32</v>
      </c>
      <c r="O87" s="1" t="s">
        <v>32</v>
      </c>
      <c r="P87" s="10">
        <v>45608</v>
      </c>
      <c r="Q87" s="10">
        <v>45620</v>
      </c>
      <c r="R87" s="10">
        <v>45623</v>
      </c>
      <c r="S87" s="1" t="s">
        <v>92</v>
      </c>
      <c r="T87" s="1" t="s">
        <v>34</v>
      </c>
      <c r="U87">
        <v>12</v>
      </c>
      <c r="V87">
        <v>15</v>
      </c>
      <c r="W87" s="1" t="s">
        <v>69</v>
      </c>
    </row>
    <row r="88" spans="1:23" x14ac:dyDescent="0.25">
      <c r="A88" s="1" t="s">
        <v>243</v>
      </c>
      <c r="B88" s="1" t="s">
        <v>24</v>
      </c>
      <c r="C88" s="1" t="s">
        <v>71</v>
      </c>
      <c r="D88" s="1" t="s">
        <v>72</v>
      </c>
      <c r="E88" s="1" t="s">
        <v>27</v>
      </c>
      <c r="F88" s="1" t="s">
        <v>28</v>
      </c>
      <c r="G88" s="1" t="s">
        <v>45</v>
      </c>
      <c r="H88" s="1" t="s">
        <v>46</v>
      </c>
      <c r="I88" s="1" t="s">
        <v>205</v>
      </c>
      <c r="J88" s="1"/>
      <c r="K88" s="1" t="s">
        <v>95</v>
      </c>
      <c r="L88" s="1"/>
      <c r="M88">
        <v>12919</v>
      </c>
      <c r="N88" s="1" t="s">
        <v>32</v>
      </c>
      <c r="O88" s="1" t="s">
        <v>32</v>
      </c>
      <c r="P88" s="10">
        <v>45610</v>
      </c>
      <c r="Q88" s="10">
        <v>45626</v>
      </c>
      <c r="R88" s="10">
        <v>45623</v>
      </c>
      <c r="S88" s="1" t="s">
        <v>92</v>
      </c>
      <c r="T88" s="1" t="s">
        <v>34</v>
      </c>
      <c r="U88">
        <v>16</v>
      </c>
      <c r="V88">
        <v>13</v>
      </c>
      <c r="W88" s="1" t="s">
        <v>57</v>
      </c>
    </row>
    <row r="89" spans="1:23" x14ac:dyDescent="0.25">
      <c r="A89" s="1" t="s">
        <v>131</v>
      </c>
      <c r="B89" s="1" t="s">
        <v>65</v>
      </c>
      <c r="C89" s="1" t="s">
        <v>209</v>
      </c>
      <c r="D89" s="1" t="s">
        <v>204</v>
      </c>
      <c r="E89" s="1" t="s">
        <v>107</v>
      </c>
      <c r="F89" s="1" t="s">
        <v>28</v>
      </c>
      <c r="G89" s="1" t="s">
        <v>45</v>
      </c>
      <c r="H89" s="1" t="s">
        <v>59</v>
      </c>
      <c r="I89" s="1" t="s">
        <v>205</v>
      </c>
      <c r="J89" s="1"/>
      <c r="K89" s="1" t="s">
        <v>108</v>
      </c>
      <c r="L89" s="1"/>
      <c r="M89">
        <v>6376</v>
      </c>
      <c r="N89" s="1" t="s">
        <v>135</v>
      </c>
      <c r="O89" s="1" t="s">
        <v>135</v>
      </c>
      <c r="P89" s="10">
        <v>45610</v>
      </c>
      <c r="Q89" s="10">
        <v>45623</v>
      </c>
      <c r="R89" s="10">
        <v>45621</v>
      </c>
      <c r="S89" s="1" t="s">
        <v>92</v>
      </c>
      <c r="T89" s="1" t="s">
        <v>34</v>
      </c>
      <c r="U89">
        <v>13</v>
      </c>
      <c r="V89">
        <v>11</v>
      </c>
      <c r="W89" s="1" t="s">
        <v>57</v>
      </c>
    </row>
    <row r="90" spans="1:23" x14ac:dyDescent="0.25">
      <c r="A90" s="1" t="s">
        <v>131</v>
      </c>
      <c r="B90" s="1" t="s">
        <v>65</v>
      </c>
      <c r="C90" s="1" t="s">
        <v>244</v>
      </c>
      <c r="D90" s="1" t="s">
        <v>204</v>
      </c>
      <c r="E90" s="1" t="s">
        <v>107</v>
      </c>
      <c r="F90" s="1" t="s">
        <v>28</v>
      </c>
      <c r="G90" s="1" t="s">
        <v>45</v>
      </c>
      <c r="H90" s="1" t="s">
        <v>59</v>
      </c>
      <c r="I90" s="1" t="s">
        <v>205</v>
      </c>
      <c r="J90" s="1"/>
      <c r="K90" s="1" t="s">
        <v>47</v>
      </c>
      <c r="L90" s="1"/>
      <c r="M90">
        <v>5294</v>
      </c>
      <c r="N90" s="1" t="s">
        <v>135</v>
      </c>
      <c r="O90" s="1" t="s">
        <v>135</v>
      </c>
      <c r="P90" s="10">
        <v>45610</v>
      </c>
      <c r="Q90" s="10">
        <v>45623</v>
      </c>
      <c r="R90" s="10">
        <v>45621</v>
      </c>
      <c r="S90" s="1" t="s">
        <v>92</v>
      </c>
      <c r="T90" s="1" t="s">
        <v>34</v>
      </c>
      <c r="U90">
        <v>13</v>
      </c>
      <c r="V90">
        <v>11</v>
      </c>
      <c r="W90" s="1" t="s">
        <v>57</v>
      </c>
    </row>
    <row r="91" spans="1:23" x14ac:dyDescent="0.25">
      <c r="A91" s="1" t="s">
        <v>245</v>
      </c>
      <c r="B91" s="1" t="s">
        <v>24</v>
      </c>
      <c r="C91" s="1" t="s">
        <v>77</v>
      </c>
      <c r="D91" s="1" t="s">
        <v>26</v>
      </c>
      <c r="E91" s="1" t="s">
        <v>246</v>
      </c>
      <c r="F91" s="1" t="s">
        <v>28</v>
      </c>
      <c r="G91" s="1" t="s">
        <v>45</v>
      </c>
      <c r="H91" s="1" t="s">
        <v>46</v>
      </c>
      <c r="I91" s="1" t="s">
        <v>205</v>
      </c>
      <c r="J91" s="1"/>
      <c r="K91" s="1" t="s">
        <v>95</v>
      </c>
      <c r="L91" s="1"/>
      <c r="M91">
        <v>7396</v>
      </c>
      <c r="N91" s="1" t="s">
        <v>32</v>
      </c>
      <c r="O91" s="1" t="s">
        <v>32</v>
      </c>
      <c r="P91" s="10">
        <v>45613</v>
      </c>
      <c r="Q91" s="10">
        <v>45624</v>
      </c>
      <c r="R91" s="10">
        <v>45622</v>
      </c>
      <c r="S91" s="1" t="s">
        <v>92</v>
      </c>
      <c r="T91" s="1" t="s">
        <v>34</v>
      </c>
      <c r="U91">
        <v>11</v>
      </c>
      <c r="V91">
        <v>9</v>
      </c>
      <c r="W91" s="1" t="s">
        <v>57</v>
      </c>
    </row>
    <row r="92" spans="1:23" x14ac:dyDescent="0.25">
      <c r="A92" s="1" t="s">
        <v>190</v>
      </c>
      <c r="B92" s="1" t="s">
        <v>24</v>
      </c>
      <c r="C92" s="1" t="s">
        <v>77</v>
      </c>
      <c r="D92" s="1" t="s">
        <v>26</v>
      </c>
      <c r="E92" s="1" t="s">
        <v>27</v>
      </c>
      <c r="F92" s="1" t="s">
        <v>28</v>
      </c>
      <c r="G92" s="1" t="s">
        <v>45</v>
      </c>
      <c r="H92" s="1" t="s">
        <v>46</v>
      </c>
      <c r="I92" s="1" t="s">
        <v>205</v>
      </c>
      <c r="J92" s="1"/>
      <c r="K92" s="1" t="s">
        <v>47</v>
      </c>
      <c r="L92" s="1"/>
      <c r="M92">
        <v>13439</v>
      </c>
      <c r="N92" s="1" t="s">
        <v>247</v>
      </c>
      <c r="O92" s="1" t="s">
        <v>41</v>
      </c>
      <c r="P92" s="10">
        <v>45616</v>
      </c>
      <c r="Q92" s="10">
        <v>45631</v>
      </c>
      <c r="R92" s="10">
        <v>45622</v>
      </c>
      <c r="S92" s="1" t="s">
        <v>92</v>
      </c>
      <c r="T92" s="1" t="s">
        <v>34</v>
      </c>
      <c r="U92">
        <v>15</v>
      </c>
      <c r="V92">
        <v>6</v>
      </c>
      <c r="W92" s="1" t="s">
        <v>57</v>
      </c>
    </row>
    <row r="93" spans="1:23" x14ac:dyDescent="0.25">
      <c r="A93" s="1" t="s">
        <v>80</v>
      </c>
      <c r="B93" s="1" t="s">
        <v>65</v>
      </c>
      <c r="C93" s="1" t="s">
        <v>81</v>
      </c>
      <c r="D93" s="1" t="s">
        <v>72</v>
      </c>
      <c r="E93" s="1" t="s">
        <v>80</v>
      </c>
      <c r="F93" s="1" t="s">
        <v>28</v>
      </c>
      <c r="G93" s="1" t="s">
        <v>78</v>
      </c>
      <c r="H93" s="1" t="s">
        <v>248</v>
      </c>
      <c r="I93" s="1" t="s">
        <v>205</v>
      </c>
      <c r="J93" s="1"/>
      <c r="K93" s="1" t="s">
        <v>242</v>
      </c>
      <c r="L93" s="1"/>
      <c r="M93">
        <v>5100</v>
      </c>
      <c r="N93" s="1" t="s">
        <v>135</v>
      </c>
      <c r="O93" s="1" t="s">
        <v>135</v>
      </c>
      <c r="P93" s="10">
        <v>45610</v>
      </c>
      <c r="Q93" s="10">
        <v>45634</v>
      </c>
      <c r="S93" s="1"/>
      <c r="T93" s="1" t="s">
        <v>90</v>
      </c>
      <c r="U93">
        <v>24</v>
      </c>
      <c r="V93">
        <v>0</v>
      </c>
      <c r="W93" s="1"/>
    </row>
    <row r="94" spans="1:23" x14ac:dyDescent="0.25">
      <c r="A94" s="1" t="s">
        <v>249</v>
      </c>
      <c r="B94" s="1" t="s">
        <v>24</v>
      </c>
      <c r="C94" s="1" t="s">
        <v>250</v>
      </c>
      <c r="D94" s="1" t="s">
        <v>72</v>
      </c>
      <c r="E94" s="1" t="s">
        <v>27</v>
      </c>
      <c r="F94" s="1" t="s">
        <v>28</v>
      </c>
      <c r="G94" s="1" t="s">
        <v>78</v>
      </c>
      <c r="H94" s="1" t="s">
        <v>125</v>
      </c>
      <c r="I94" s="1" t="s">
        <v>205</v>
      </c>
      <c r="J94" s="1"/>
      <c r="K94" s="1" t="s">
        <v>108</v>
      </c>
      <c r="L94" s="1"/>
      <c r="M94">
        <v>10885</v>
      </c>
      <c r="N94" s="1" t="s">
        <v>251</v>
      </c>
      <c r="O94" s="1" t="s">
        <v>41</v>
      </c>
      <c r="P94" s="10">
        <v>45620</v>
      </c>
      <c r="Q94" s="10">
        <v>45631</v>
      </c>
      <c r="R94" s="10">
        <v>45636</v>
      </c>
      <c r="S94" s="1" t="s">
        <v>92</v>
      </c>
      <c r="T94" s="1" t="s">
        <v>34</v>
      </c>
      <c r="U94">
        <v>11</v>
      </c>
      <c r="V94">
        <v>16</v>
      </c>
      <c r="W94" s="1" t="s">
        <v>69</v>
      </c>
    </row>
    <row r="95" spans="1:23" x14ac:dyDescent="0.25">
      <c r="A95" s="1" t="s">
        <v>80</v>
      </c>
      <c r="B95" s="1" t="s">
        <v>65</v>
      </c>
      <c r="C95" s="1" t="s">
        <v>81</v>
      </c>
      <c r="D95" s="1" t="s">
        <v>72</v>
      </c>
      <c r="E95" s="1" t="s">
        <v>80</v>
      </c>
      <c r="F95" s="1" t="s">
        <v>231</v>
      </c>
      <c r="G95" s="1" t="s">
        <v>252</v>
      </c>
      <c r="H95" s="1" t="s">
        <v>252</v>
      </c>
      <c r="I95" s="1" t="s">
        <v>205</v>
      </c>
      <c r="J95" s="1"/>
      <c r="K95" s="1"/>
      <c r="L95" s="1"/>
      <c r="M95">
        <v>6000</v>
      </c>
      <c r="N95" s="1" t="s">
        <v>253</v>
      </c>
      <c r="O95" s="1" t="s">
        <v>41</v>
      </c>
      <c r="P95" s="10">
        <v>45615</v>
      </c>
      <c r="Q95" s="10">
        <v>45631</v>
      </c>
      <c r="R95" s="10">
        <v>45616</v>
      </c>
      <c r="S95" s="1" t="s">
        <v>254</v>
      </c>
      <c r="T95" s="1" t="s">
        <v>34</v>
      </c>
      <c r="U95">
        <v>16</v>
      </c>
      <c r="V95">
        <v>1</v>
      </c>
      <c r="W95" s="1" t="s">
        <v>57</v>
      </c>
    </row>
    <row r="96" spans="1:23" x14ac:dyDescent="0.25">
      <c r="A96" s="1" t="s">
        <v>255</v>
      </c>
      <c r="B96" s="1" t="s">
        <v>24</v>
      </c>
      <c r="C96" s="1" t="s">
        <v>256</v>
      </c>
      <c r="D96" s="1" t="s">
        <v>37</v>
      </c>
      <c r="E96" s="1" t="s">
        <v>27</v>
      </c>
      <c r="F96" s="1" t="s">
        <v>257</v>
      </c>
      <c r="G96" s="1"/>
      <c r="H96" s="1" t="s">
        <v>258</v>
      </c>
      <c r="I96" s="1" t="s">
        <v>205</v>
      </c>
      <c r="J96" s="1"/>
      <c r="K96" s="1"/>
      <c r="L96" s="1"/>
      <c r="M96">
        <v>8449</v>
      </c>
      <c r="N96" s="1" t="s">
        <v>32</v>
      </c>
      <c r="O96" s="1" t="s">
        <v>32</v>
      </c>
      <c r="P96" s="10">
        <v>45623</v>
      </c>
      <c r="Q96" s="10">
        <v>45636</v>
      </c>
      <c r="R96" s="10">
        <v>45649</v>
      </c>
      <c r="S96" s="1" t="s">
        <v>33</v>
      </c>
      <c r="T96" s="1" t="s">
        <v>34</v>
      </c>
      <c r="U96">
        <v>13</v>
      </c>
      <c r="V96">
        <v>26</v>
      </c>
      <c r="W96" s="1" t="s">
        <v>69</v>
      </c>
    </row>
    <row r="97" spans="1:23" x14ac:dyDescent="0.25">
      <c r="A97" s="1" t="s">
        <v>259</v>
      </c>
      <c r="B97" s="1" t="s">
        <v>24</v>
      </c>
      <c r="C97" s="1" t="s">
        <v>260</v>
      </c>
      <c r="D97" s="1" t="s">
        <v>37</v>
      </c>
      <c r="E97" s="1" t="s">
        <v>27</v>
      </c>
      <c r="F97" s="1" t="s">
        <v>28</v>
      </c>
      <c r="G97" s="1" t="s">
        <v>45</v>
      </c>
      <c r="H97" s="1" t="s">
        <v>46</v>
      </c>
      <c r="I97" s="1" t="s">
        <v>205</v>
      </c>
      <c r="J97" s="1"/>
      <c r="K97" s="1" t="s">
        <v>60</v>
      </c>
      <c r="L97" s="1"/>
      <c r="M97">
        <v>14905</v>
      </c>
      <c r="N97" s="1" t="s">
        <v>32</v>
      </c>
      <c r="O97" s="1" t="s">
        <v>32</v>
      </c>
      <c r="P97" s="10">
        <v>45625</v>
      </c>
      <c r="Q97" s="10">
        <v>45641</v>
      </c>
      <c r="S97" s="1" t="s">
        <v>261</v>
      </c>
      <c r="T97" s="1" t="s">
        <v>90</v>
      </c>
      <c r="U97">
        <v>16</v>
      </c>
      <c r="V97">
        <v>0</v>
      </c>
      <c r="W97" s="1"/>
    </row>
    <row r="98" spans="1:23" x14ac:dyDescent="0.25">
      <c r="A98" s="1" t="s">
        <v>262</v>
      </c>
      <c r="B98" s="1" t="s">
        <v>24</v>
      </c>
      <c r="C98" s="1" t="s">
        <v>143</v>
      </c>
      <c r="D98" s="1" t="s">
        <v>72</v>
      </c>
      <c r="E98" s="1" t="s">
        <v>27</v>
      </c>
      <c r="F98" s="1" t="s">
        <v>28</v>
      </c>
      <c r="G98" s="1" t="s">
        <v>45</v>
      </c>
      <c r="H98" s="1" t="s">
        <v>59</v>
      </c>
      <c r="I98" s="1" t="s">
        <v>205</v>
      </c>
      <c r="J98" s="1"/>
      <c r="K98" s="1" t="s">
        <v>95</v>
      </c>
      <c r="L98" s="1"/>
      <c r="M98">
        <v>12099</v>
      </c>
      <c r="N98" s="1" t="s">
        <v>32</v>
      </c>
      <c r="O98" s="1" t="s">
        <v>32</v>
      </c>
      <c r="P98" s="10">
        <v>45628</v>
      </c>
      <c r="Q98" s="10">
        <v>45643</v>
      </c>
      <c r="S98" s="1"/>
      <c r="T98" s="1" t="s">
        <v>90</v>
      </c>
      <c r="U98">
        <v>15</v>
      </c>
      <c r="V98">
        <v>0</v>
      </c>
      <c r="W98" s="1"/>
    </row>
    <row r="99" spans="1:23" x14ac:dyDescent="0.25">
      <c r="A99" s="1" t="s">
        <v>131</v>
      </c>
      <c r="B99" s="1" t="s">
        <v>65</v>
      </c>
      <c r="C99" s="1" t="s">
        <v>209</v>
      </c>
      <c r="D99" s="1" t="s">
        <v>204</v>
      </c>
      <c r="E99" s="1" t="s">
        <v>107</v>
      </c>
      <c r="F99" s="1" t="s">
        <v>28</v>
      </c>
      <c r="G99" s="1" t="s">
        <v>45</v>
      </c>
      <c r="H99" s="1" t="s">
        <v>46</v>
      </c>
      <c r="I99" s="1" t="s">
        <v>205</v>
      </c>
      <c r="J99" s="1"/>
      <c r="K99" s="1" t="s">
        <v>47</v>
      </c>
      <c r="L99" s="1"/>
      <c r="M99">
        <v>5217</v>
      </c>
      <c r="N99" s="1" t="s">
        <v>135</v>
      </c>
      <c r="O99" s="1" t="s">
        <v>135</v>
      </c>
      <c r="P99" s="10">
        <v>45627</v>
      </c>
      <c r="Q99" s="10">
        <v>45640</v>
      </c>
      <c r="R99" s="10">
        <v>45636</v>
      </c>
      <c r="S99" s="1" t="s">
        <v>92</v>
      </c>
      <c r="T99" s="1" t="s">
        <v>34</v>
      </c>
      <c r="U99">
        <v>13</v>
      </c>
      <c r="V99">
        <v>9</v>
      </c>
      <c r="W99" s="1" t="s">
        <v>57</v>
      </c>
    </row>
    <row r="100" spans="1:23" x14ac:dyDescent="0.25">
      <c r="A100" s="1" t="s">
        <v>263</v>
      </c>
      <c r="B100" s="1" t="s">
        <v>24</v>
      </c>
      <c r="C100" s="1" t="s">
        <v>264</v>
      </c>
      <c r="D100" s="1" t="s">
        <v>72</v>
      </c>
      <c r="E100" s="1" t="s">
        <v>64</v>
      </c>
      <c r="F100" s="1" t="s">
        <v>28</v>
      </c>
      <c r="G100" s="1" t="s">
        <v>45</v>
      </c>
      <c r="H100" s="1" t="s">
        <v>46</v>
      </c>
      <c r="I100" s="1" t="s">
        <v>205</v>
      </c>
      <c r="J100" s="1"/>
      <c r="K100" s="1"/>
      <c r="L100" s="1"/>
      <c r="M100">
        <v>10445</v>
      </c>
      <c r="N100" s="1" t="s">
        <v>265</v>
      </c>
      <c r="O100" s="1" t="s">
        <v>41</v>
      </c>
      <c r="P100" s="10">
        <v>45635</v>
      </c>
      <c r="Q100" s="10">
        <v>45657</v>
      </c>
      <c r="R100" s="10">
        <v>45638</v>
      </c>
      <c r="S100" s="1" t="s">
        <v>92</v>
      </c>
      <c r="T100" s="1" t="s">
        <v>34</v>
      </c>
      <c r="U100">
        <v>22</v>
      </c>
      <c r="V100">
        <v>3</v>
      </c>
      <c r="W100" s="1" t="s">
        <v>57</v>
      </c>
    </row>
    <row r="101" spans="1:23" x14ac:dyDescent="0.25">
      <c r="A101" s="1" t="s">
        <v>266</v>
      </c>
      <c r="B101" s="1" t="s">
        <v>24</v>
      </c>
      <c r="C101" s="1" t="s">
        <v>77</v>
      </c>
      <c r="D101" s="1" t="s">
        <v>26</v>
      </c>
      <c r="E101" s="1" t="s">
        <v>27</v>
      </c>
      <c r="F101" s="1" t="s">
        <v>28</v>
      </c>
      <c r="G101" s="1" t="s">
        <v>45</v>
      </c>
      <c r="H101" s="1" t="s">
        <v>59</v>
      </c>
      <c r="I101" s="1" t="s">
        <v>205</v>
      </c>
      <c r="J101" s="1"/>
      <c r="K101" s="1" t="s">
        <v>95</v>
      </c>
      <c r="L101" s="1"/>
      <c r="M101">
        <v>13099</v>
      </c>
      <c r="N101" s="1" t="s">
        <v>267</v>
      </c>
      <c r="O101" s="1" t="s">
        <v>41</v>
      </c>
      <c r="P101" s="10">
        <v>45638</v>
      </c>
      <c r="Q101" s="10">
        <v>45654</v>
      </c>
      <c r="R101" s="10">
        <v>45655</v>
      </c>
      <c r="S101" s="1" t="s">
        <v>92</v>
      </c>
      <c r="T101" s="1" t="s">
        <v>34</v>
      </c>
      <c r="U101">
        <v>16</v>
      </c>
      <c r="V101">
        <v>17</v>
      </c>
      <c r="W101" s="1" t="s">
        <v>69</v>
      </c>
    </row>
    <row r="102" spans="1:23" x14ac:dyDescent="0.25">
      <c r="A102" s="1" t="s">
        <v>268</v>
      </c>
      <c r="B102" s="1" t="s">
        <v>24</v>
      </c>
      <c r="C102" s="1" t="s">
        <v>207</v>
      </c>
      <c r="D102" s="1" t="s">
        <v>167</v>
      </c>
      <c r="E102" s="1" t="s">
        <v>27</v>
      </c>
      <c r="F102" s="1" t="s">
        <v>28</v>
      </c>
      <c r="G102" s="1" t="s">
        <v>29</v>
      </c>
      <c r="H102" s="1"/>
      <c r="I102" s="1" t="s">
        <v>269</v>
      </c>
      <c r="J102" s="1" t="s">
        <v>38</v>
      </c>
      <c r="K102" s="1"/>
      <c r="L102" s="1" t="s">
        <v>38</v>
      </c>
      <c r="M102">
        <v>9399</v>
      </c>
      <c r="N102" s="1" t="s">
        <v>32</v>
      </c>
      <c r="O102" s="1" t="s">
        <v>32</v>
      </c>
      <c r="P102" s="10">
        <v>45549</v>
      </c>
      <c r="Q102" s="10">
        <v>45557</v>
      </c>
      <c r="S102" s="1" t="s">
        <v>51</v>
      </c>
      <c r="T102" s="1" t="s">
        <v>51</v>
      </c>
      <c r="U102">
        <v>8</v>
      </c>
      <c r="V102">
        <v>0</v>
      </c>
      <c r="W102" s="1"/>
    </row>
    <row r="103" spans="1:23" x14ac:dyDescent="0.25">
      <c r="A103" s="1" t="s">
        <v>270</v>
      </c>
      <c r="B103" s="1" t="s">
        <v>24</v>
      </c>
      <c r="C103" s="1" t="s">
        <v>77</v>
      </c>
      <c r="D103" s="1" t="s">
        <v>26</v>
      </c>
      <c r="E103" s="1" t="s">
        <v>27</v>
      </c>
      <c r="F103" s="1" t="s">
        <v>28</v>
      </c>
      <c r="G103" s="1" t="s">
        <v>29</v>
      </c>
      <c r="H103" s="1"/>
      <c r="I103" s="1" t="s">
        <v>271</v>
      </c>
      <c r="J103" s="1" t="s">
        <v>38</v>
      </c>
      <c r="K103" s="1"/>
      <c r="L103" s="1" t="s">
        <v>38</v>
      </c>
      <c r="M103">
        <v>9399</v>
      </c>
      <c r="N103" s="1" t="s">
        <v>32</v>
      </c>
      <c r="O103" s="1" t="s">
        <v>32</v>
      </c>
      <c r="P103" s="10">
        <v>45548</v>
      </c>
      <c r="Q103" s="10">
        <v>45559</v>
      </c>
      <c r="R103" s="10">
        <v>45565</v>
      </c>
      <c r="S103" s="1" t="s">
        <v>33</v>
      </c>
      <c r="T103" s="1" t="s">
        <v>34</v>
      </c>
      <c r="U103">
        <v>11</v>
      </c>
      <c r="V103">
        <v>17</v>
      </c>
      <c r="W103" s="1" t="s">
        <v>69</v>
      </c>
    </row>
    <row r="104" spans="1:23" x14ac:dyDescent="0.25">
      <c r="A104" s="1" t="s">
        <v>272</v>
      </c>
      <c r="B104" s="1" t="s">
        <v>24</v>
      </c>
      <c r="C104" s="1" t="s">
        <v>115</v>
      </c>
      <c r="D104" s="1" t="s">
        <v>72</v>
      </c>
      <c r="E104" s="1" t="s">
        <v>27</v>
      </c>
      <c r="F104" s="1" t="s">
        <v>28</v>
      </c>
      <c r="G104" s="1" t="s">
        <v>78</v>
      </c>
      <c r="H104" s="1" t="s">
        <v>273</v>
      </c>
      <c r="I104" s="1" t="s">
        <v>274</v>
      </c>
      <c r="J104" s="1" t="s">
        <v>61</v>
      </c>
      <c r="K104" s="1" t="s">
        <v>168</v>
      </c>
      <c r="L104" s="1" t="s">
        <v>61</v>
      </c>
      <c r="M104">
        <v>9528</v>
      </c>
      <c r="N104" s="1" t="s">
        <v>32</v>
      </c>
      <c r="O104" s="1" t="s">
        <v>32</v>
      </c>
      <c r="P104" s="10">
        <v>45548</v>
      </c>
      <c r="Q104" s="10">
        <v>45561</v>
      </c>
      <c r="R104" s="10">
        <v>45568</v>
      </c>
      <c r="S104" s="1" t="s">
        <v>92</v>
      </c>
      <c r="T104" s="1" t="s">
        <v>34</v>
      </c>
      <c r="U104">
        <v>13</v>
      </c>
      <c r="V104">
        <v>20</v>
      </c>
      <c r="W104" s="1" t="s">
        <v>69</v>
      </c>
    </row>
    <row r="105" spans="1:23" x14ac:dyDescent="0.25">
      <c r="A105" s="1" t="s">
        <v>275</v>
      </c>
      <c r="B105" s="1" t="s">
        <v>24</v>
      </c>
      <c r="C105" s="1" t="s">
        <v>115</v>
      </c>
      <c r="D105" s="1" t="s">
        <v>72</v>
      </c>
      <c r="E105" s="1" t="s">
        <v>27</v>
      </c>
      <c r="F105" s="1" t="s">
        <v>231</v>
      </c>
      <c r="G105" s="1" t="s">
        <v>67</v>
      </c>
      <c r="H105" s="1"/>
      <c r="I105" s="1" t="s">
        <v>276</v>
      </c>
      <c r="J105" s="1"/>
      <c r="K105" s="1"/>
      <c r="L105" s="1" t="s">
        <v>61</v>
      </c>
      <c r="M105">
        <v>21999</v>
      </c>
      <c r="N105" s="1" t="s">
        <v>32</v>
      </c>
      <c r="O105" s="1" t="s">
        <v>32</v>
      </c>
      <c r="P105" s="10">
        <v>45548</v>
      </c>
      <c r="Q105" s="10">
        <v>45565</v>
      </c>
      <c r="S105" s="1" t="s">
        <v>92</v>
      </c>
      <c r="T105" s="1" t="s">
        <v>34</v>
      </c>
      <c r="U105">
        <v>17</v>
      </c>
      <c r="V105">
        <v>0</v>
      </c>
      <c r="W105" s="1"/>
    </row>
    <row r="106" spans="1:23" x14ac:dyDescent="0.25">
      <c r="A106" s="1" t="s">
        <v>277</v>
      </c>
      <c r="B106" s="1" t="s">
        <v>24</v>
      </c>
      <c r="C106" s="1" t="s">
        <v>77</v>
      </c>
      <c r="D106" s="1" t="s">
        <v>26</v>
      </c>
      <c r="E106" s="1" t="s">
        <v>27</v>
      </c>
      <c r="F106" s="1" t="s">
        <v>28</v>
      </c>
      <c r="G106" s="1" t="s">
        <v>29</v>
      </c>
      <c r="H106" s="1"/>
      <c r="I106" s="1" t="s">
        <v>278</v>
      </c>
      <c r="J106" s="1" t="s">
        <v>38</v>
      </c>
      <c r="K106" s="1"/>
      <c r="L106" s="1" t="s">
        <v>38</v>
      </c>
      <c r="M106">
        <v>9399</v>
      </c>
      <c r="N106" s="1" t="s">
        <v>32</v>
      </c>
      <c r="O106" s="1" t="s">
        <v>32</v>
      </c>
      <c r="P106" s="10">
        <v>45549</v>
      </c>
      <c r="Q106" s="10">
        <v>45594</v>
      </c>
      <c r="R106" s="10">
        <v>45580</v>
      </c>
      <c r="S106" s="1" t="s">
        <v>92</v>
      </c>
      <c r="T106" s="1" t="s">
        <v>34</v>
      </c>
      <c r="U106">
        <v>45</v>
      </c>
      <c r="V106">
        <v>31</v>
      </c>
      <c r="W106" s="1" t="s">
        <v>57</v>
      </c>
    </row>
    <row r="107" spans="1:23" x14ac:dyDescent="0.25">
      <c r="A107" s="1" t="s">
        <v>279</v>
      </c>
      <c r="B107" s="1" t="s">
        <v>24</v>
      </c>
      <c r="C107" s="1" t="s">
        <v>53</v>
      </c>
      <c r="D107" s="1" t="s">
        <v>54</v>
      </c>
      <c r="E107" s="1" t="s">
        <v>27</v>
      </c>
      <c r="F107" s="1" t="s">
        <v>231</v>
      </c>
      <c r="G107" s="1" t="s">
        <v>67</v>
      </c>
      <c r="H107" s="1"/>
      <c r="I107" s="1" t="s">
        <v>276</v>
      </c>
      <c r="J107" s="1"/>
      <c r="K107" s="1"/>
      <c r="L107" s="1" t="s">
        <v>61</v>
      </c>
      <c r="M107">
        <v>21999</v>
      </c>
      <c r="N107" s="1" t="s">
        <v>32</v>
      </c>
      <c r="O107" s="1" t="s">
        <v>32</v>
      </c>
      <c r="P107" s="10">
        <v>45549</v>
      </c>
      <c r="Q107" s="10">
        <v>45616</v>
      </c>
      <c r="S107" s="1"/>
      <c r="T107" s="1" t="s">
        <v>90</v>
      </c>
      <c r="U107">
        <v>67</v>
      </c>
      <c r="V107">
        <v>0</v>
      </c>
      <c r="W107" s="1"/>
    </row>
    <row r="108" spans="1:23" x14ac:dyDescent="0.25">
      <c r="A108" s="1" t="s">
        <v>280</v>
      </c>
      <c r="B108" s="1" t="s">
        <v>24</v>
      </c>
      <c r="C108" s="1" t="s">
        <v>115</v>
      </c>
      <c r="D108" s="1" t="s">
        <v>72</v>
      </c>
      <c r="E108" s="1" t="s">
        <v>27</v>
      </c>
      <c r="F108" s="1" t="s">
        <v>231</v>
      </c>
      <c r="G108" s="1" t="s">
        <v>67</v>
      </c>
      <c r="H108" s="1"/>
      <c r="I108" s="1" t="s">
        <v>276</v>
      </c>
      <c r="J108" s="1"/>
      <c r="K108" s="1"/>
      <c r="L108" s="1" t="s">
        <v>61</v>
      </c>
      <c r="M108">
        <v>21999</v>
      </c>
      <c r="N108" s="1" t="s">
        <v>32</v>
      </c>
      <c r="O108" s="1" t="s">
        <v>32</v>
      </c>
      <c r="P108" s="10">
        <v>45549</v>
      </c>
      <c r="Q108" s="10">
        <v>45616</v>
      </c>
      <c r="R108" s="10">
        <v>45574</v>
      </c>
      <c r="S108" s="1" t="s">
        <v>92</v>
      </c>
      <c r="T108" s="1" t="s">
        <v>34</v>
      </c>
      <c r="U108">
        <v>67</v>
      </c>
      <c r="V108">
        <v>25</v>
      </c>
      <c r="W108" s="1" t="s">
        <v>57</v>
      </c>
    </row>
    <row r="109" spans="1:23" x14ac:dyDescent="0.25">
      <c r="A109" s="1" t="s">
        <v>281</v>
      </c>
      <c r="B109" s="1" t="s">
        <v>24</v>
      </c>
      <c r="C109" s="1" t="s">
        <v>282</v>
      </c>
      <c r="D109" s="1" t="s">
        <v>204</v>
      </c>
      <c r="E109" s="1" t="s">
        <v>27</v>
      </c>
      <c r="F109" s="1" t="s">
        <v>231</v>
      </c>
      <c r="G109" s="1" t="s">
        <v>67</v>
      </c>
      <c r="H109" s="1"/>
      <c r="I109" s="1" t="s">
        <v>205</v>
      </c>
      <c r="J109" s="1"/>
      <c r="K109" s="1"/>
      <c r="L109" s="1" t="s">
        <v>61</v>
      </c>
      <c r="M109">
        <v>21999</v>
      </c>
      <c r="N109" s="1" t="s">
        <v>32</v>
      </c>
      <c r="O109" s="1" t="s">
        <v>32</v>
      </c>
      <c r="P109" s="10">
        <v>45550</v>
      </c>
      <c r="Q109" s="10">
        <v>45616</v>
      </c>
      <c r="R109" s="10">
        <v>45584</v>
      </c>
      <c r="S109" s="1" t="s">
        <v>92</v>
      </c>
      <c r="T109" s="1" t="s">
        <v>34</v>
      </c>
      <c r="U109">
        <v>66</v>
      </c>
      <c r="V109">
        <v>34</v>
      </c>
      <c r="W109" s="1" t="s">
        <v>57</v>
      </c>
    </row>
    <row r="110" spans="1:23" x14ac:dyDescent="0.25">
      <c r="A110" s="1" t="s">
        <v>64</v>
      </c>
      <c r="B110" s="1" t="s">
        <v>65</v>
      </c>
      <c r="C110" s="1" t="s">
        <v>283</v>
      </c>
      <c r="D110" s="1" t="s">
        <v>72</v>
      </c>
      <c r="E110" s="1" t="s">
        <v>64</v>
      </c>
      <c r="F110" s="1" t="s">
        <v>231</v>
      </c>
      <c r="G110" s="1" t="s">
        <v>232</v>
      </c>
      <c r="H110" s="1"/>
      <c r="I110" s="1" t="s">
        <v>205</v>
      </c>
      <c r="J110" s="1"/>
      <c r="K110" s="1"/>
      <c r="L110" s="1" t="s">
        <v>284</v>
      </c>
      <c r="M110">
        <v>14950</v>
      </c>
      <c r="N110" s="1" t="s">
        <v>32</v>
      </c>
      <c r="O110" s="1" t="s">
        <v>32</v>
      </c>
      <c r="P110" s="10">
        <v>45561</v>
      </c>
      <c r="Q110" s="10">
        <v>45579</v>
      </c>
      <c r="R110" s="10">
        <v>45578</v>
      </c>
      <c r="S110" s="1" t="s">
        <v>92</v>
      </c>
      <c r="T110" s="1" t="s">
        <v>34</v>
      </c>
      <c r="U110">
        <v>18</v>
      </c>
      <c r="V110">
        <v>17</v>
      </c>
      <c r="W110" s="1" t="s">
        <v>57</v>
      </c>
    </row>
    <row r="111" spans="1:23" x14ac:dyDescent="0.25">
      <c r="A111" s="1" t="s">
        <v>216</v>
      </c>
      <c r="B111" s="1" t="s">
        <v>24</v>
      </c>
      <c r="C111" s="1" t="s">
        <v>167</v>
      </c>
      <c r="D111" s="1" t="s">
        <v>167</v>
      </c>
      <c r="E111" s="1" t="s">
        <v>167</v>
      </c>
      <c r="F111" s="1" t="s">
        <v>28</v>
      </c>
      <c r="G111" s="1" t="s">
        <v>29</v>
      </c>
      <c r="H111" s="1"/>
      <c r="I111" s="1" t="s">
        <v>205</v>
      </c>
      <c r="J111" s="1"/>
      <c r="K111" s="1"/>
      <c r="L111" s="1" t="s">
        <v>285</v>
      </c>
      <c r="M111">
        <v>4600</v>
      </c>
      <c r="N111" s="1"/>
      <c r="O111" s="1"/>
      <c r="P111" s="10">
        <v>45566</v>
      </c>
      <c r="Q111" s="10">
        <v>45574</v>
      </c>
      <c r="R111" s="10">
        <v>45574</v>
      </c>
      <c r="S111" s="1" t="s">
        <v>218</v>
      </c>
      <c r="T111" s="1" t="s">
        <v>34</v>
      </c>
      <c r="U111">
        <v>8</v>
      </c>
      <c r="V111">
        <v>8</v>
      </c>
      <c r="W111" s="1" t="s">
        <v>57</v>
      </c>
    </row>
    <row r="112" spans="1:23" x14ac:dyDescent="0.25">
      <c r="A112" s="1" t="s">
        <v>216</v>
      </c>
      <c r="B112" s="1" t="s">
        <v>24</v>
      </c>
      <c r="C112" s="1" t="s">
        <v>167</v>
      </c>
      <c r="D112" s="1" t="s">
        <v>167</v>
      </c>
      <c r="E112" s="1" t="s">
        <v>167</v>
      </c>
      <c r="F112" s="1" t="s">
        <v>231</v>
      </c>
      <c r="G112" s="1" t="s">
        <v>286</v>
      </c>
      <c r="H112" s="1"/>
      <c r="I112" s="1" t="s">
        <v>205</v>
      </c>
      <c r="J112" s="1"/>
      <c r="K112" s="1"/>
      <c r="L112" s="1" t="s">
        <v>287</v>
      </c>
      <c r="M112">
        <v>10000</v>
      </c>
      <c r="N112" s="1"/>
      <c r="O112" s="1"/>
      <c r="P112" s="10">
        <v>45566</v>
      </c>
      <c r="Q112" s="10">
        <v>45574</v>
      </c>
      <c r="R112" s="10">
        <v>45574</v>
      </c>
      <c r="S112" s="1" t="s">
        <v>218</v>
      </c>
      <c r="T112" s="1" t="s">
        <v>34</v>
      </c>
      <c r="U112">
        <v>8</v>
      </c>
      <c r="V112">
        <v>8</v>
      </c>
      <c r="W112" s="1" t="s">
        <v>57</v>
      </c>
    </row>
    <row r="113" spans="1:23" x14ac:dyDescent="0.25">
      <c r="A113" s="1" t="s">
        <v>216</v>
      </c>
      <c r="B113" s="1" t="s">
        <v>24</v>
      </c>
      <c r="C113" s="1" t="s">
        <v>167</v>
      </c>
      <c r="D113" s="1" t="s">
        <v>167</v>
      </c>
      <c r="E113" s="1" t="s">
        <v>167</v>
      </c>
      <c r="F113" s="1" t="s">
        <v>288</v>
      </c>
      <c r="G113" s="1"/>
      <c r="H113" s="1"/>
      <c r="I113" s="1" t="s">
        <v>205</v>
      </c>
      <c r="J113" s="1"/>
      <c r="K113" s="1"/>
      <c r="L113" s="1" t="s">
        <v>284</v>
      </c>
      <c r="M113">
        <v>10000</v>
      </c>
      <c r="N113" s="1"/>
      <c r="O113" s="1"/>
      <c r="P113" s="10">
        <v>45566</v>
      </c>
      <c r="Q113" s="10">
        <v>45574</v>
      </c>
      <c r="R113" s="10">
        <v>45574</v>
      </c>
      <c r="S113" s="1" t="s">
        <v>218</v>
      </c>
      <c r="T113" s="1" t="s">
        <v>34</v>
      </c>
      <c r="U113">
        <v>8</v>
      </c>
      <c r="V113">
        <v>8</v>
      </c>
      <c r="W113" s="1" t="s">
        <v>57</v>
      </c>
    </row>
    <row r="114" spans="1:23" x14ac:dyDescent="0.25">
      <c r="A114" s="1" t="s">
        <v>289</v>
      </c>
      <c r="B114" s="1" t="s">
        <v>24</v>
      </c>
      <c r="C114" s="1" t="s">
        <v>290</v>
      </c>
      <c r="D114" s="1" t="s">
        <v>72</v>
      </c>
      <c r="E114" s="1" t="s">
        <v>27</v>
      </c>
      <c r="F114" s="1" t="s">
        <v>28</v>
      </c>
      <c r="G114" s="1" t="s">
        <v>29</v>
      </c>
      <c r="H114" s="1"/>
      <c r="I114" s="1" t="s">
        <v>205</v>
      </c>
      <c r="J114" s="1"/>
      <c r="K114" s="1"/>
      <c r="L114" s="1" t="s">
        <v>38</v>
      </c>
      <c r="M114">
        <v>8899</v>
      </c>
      <c r="N114" s="1" t="s">
        <v>291</v>
      </c>
      <c r="O114" s="1" t="s">
        <v>41</v>
      </c>
      <c r="P114" s="10">
        <v>45568</v>
      </c>
      <c r="Q114" s="10">
        <v>45613</v>
      </c>
      <c r="S114" s="1"/>
      <c r="T114" s="1" t="s">
        <v>90</v>
      </c>
      <c r="U114">
        <v>45</v>
      </c>
      <c r="V114">
        <v>0</v>
      </c>
      <c r="W114" s="1"/>
    </row>
    <row r="115" spans="1:23" x14ac:dyDescent="0.25">
      <c r="A115" s="1" t="s">
        <v>64</v>
      </c>
      <c r="B115" s="1" t="s">
        <v>65</v>
      </c>
      <c r="C115" s="1" t="s">
        <v>292</v>
      </c>
      <c r="D115" s="1" t="s">
        <v>204</v>
      </c>
      <c r="E115" s="1" t="s">
        <v>64</v>
      </c>
      <c r="F115" s="1" t="s">
        <v>231</v>
      </c>
      <c r="G115" s="1" t="s">
        <v>232</v>
      </c>
      <c r="H115" s="1"/>
      <c r="I115" s="1" t="s">
        <v>205</v>
      </c>
      <c r="J115" s="1"/>
      <c r="K115" s="1"/>
      <c r="L115" s="1" t="s">
        <v>293</v>
      </c>
      <c r="M115">
        <v>14550</v>
      </c>
      <c r="N115" s="1" t="s">
        <v>32</v>
      </c>
      <c r="O115" s="1" t="s">
        <v>32</v>
      </c>
      <c r="P115" s="10">
        <v>45573</v>
      </c>
      <c r="Q115" s="10">
        <v>45594</v>
      </c>
      <c r="R115" s="10">
        <v>45595</v>
      </c>
      <c r="S115" s="1" t="s">
        <v>92</v>
      </c>
      <c r="T115" s="1" t="s">
        <v>34</v>
      </c>
      <c r="U115">
        <v>21</v>
      </c>
      <c r="V115">
        <v>22</v>
      </c>
      <c r="W115" s="1" t="s">
        <v>69</v>
      </c>
    </row>
    <row r="116" spans="1:23" x14ac:dyDescent="0.25">
      <c r="A116" s="1" t="s">
        <v>64</v>
      </c>
      <c r="B116" s="1" t="s">
        <v>65</v>
      </c>
      <c r="C116" s="1" t="s">
        <v>294</v>
      </c>
      <c r="D116" s="1" t="s">
        <v>26</v>
      </c>
      <c r="E116" s="1" t="s">
        <v>64</v>
      </c>
      <c r="F116" s="1" t="s">
        <v>231</v>
      </c>
      <c r="G116" s="1" t="s">
        <v>232</v>
      </c>
      <c r="H116" s="1"/>
      <c r="I116" s="1" t="s">
        <v>205</v>
      </c>
      <c r="J116" s="1"/>
      <c r="K116" s="1"/>
      <c r="L116" s="1" t="s">
        <v>293</v>
      </c>
      <c r="M116">
        <v>14550</v>
      </c>
      <c r="N116" s="1" t="s">
        <v>32</v>
      </c>
      <c r="O116" s="1" t="s">
        <v>32</v>
      </c>
      <c r="P116" s="10">
        <v>45572</v>
      </c>
      <c r="Q116" s="10">
        <v>45594</v>
      </c>
      <c r="R116" s="10">
        <v>45580</v>
      </c>
      <c r="S116" s="1" t="s">
        <v>92</v>
      </c>
      <c r="T116" s="1" t="s">
        <v>34</v>
      </c>
      <c r="U116">
        <v>22</v>
      </c>
      <c r="V116">
        <v>8</v>
      </c>
      <c r="W116" s="1" t="s">
        <v>57</v>
      </c>
    </row>
    <row r="117" spans="1:23" x14ac:dyDescent="0.25">
      <c r="A117" s="1" t="s">
        <v>64</v>
      </c>
      <c r="B117" s="1" t="s">
        <v>65</v>
      </c>
      <c r="C117" s="1"/>
      <c r="D117" s="1" t="s">
        <v>205</v>
      </c>
      <c r="E117" s="1" t="s">
        <v>64</v>
      </c>
      <c r="F117" s="1" t="s">
        <v>231</v>
      </c>
      <c r="G117" s="1" t="s">
        <v>232</v>
      </c>
      <c r="H117" s="1"/>
      <c r="I117" s="1" t="s">
        <v>205</v>
      </c>
      <c r="J117" s="1"/>
      <c r="K117" s="1"/>
      <c r="L117" s="1" t="s">
        <v>284</v>
      </c>
      <c r="M117">
        <v>14550</v>
      </c>
      <c r="N117" s="1" t="s">
        <v>295</v>
      </c>
      <c r="O117" s="1" t="s">
        <v>41</v>
      </c>
      <c r="P117" s="10">
        <v>45575</v>
      </c>
      <c r="Q117" s="10">
        <v>45596</v>
      </c>
      <c r="R117" s="10">
        <v>45598</v>
      </c>
      <c r="S117" s="1" t="s">
        <v>92</v>
      </c>
      <c r="T117" s="1" t="s">
        <v>34</v>
      </c>
      <c r="U117">
        <v>21</v>
      </c>
      <c r="V117">
        <v>23</v>
      </c>
      <c r="W117" s="1" t="s">
        <v>69</v>
      </c>
    </row>
    <row r="118" spans="1:23" x14ac:dyDescent="0.25">
      <c r="A118" s="1" t="s">
        <v>296</v>
      </c>
      <c r="B118" s="1" t="s">
        <v>24</v>
      </c>
      <c r="C118" s="1" t="s">
        <v>297</v>
      </c>
      <c r="D118" s="1" t="s">
        <v>204</v>
      </c>
      <c r="E118" s="1" t="s">
        <v>240</v>
      </c>
      <c r="F118" s="1" t="s">
        <v>28</v>
      </c>
      <c r="G118" s="1" t="s">
        <v>78</v>
      </c>
      <c r="H118" s="1" t="s">
        <v>298</v>
      </c>
      <c r="I118" s="1" t="s">
        <v>205</v>
      </c>
      <c r="J118" s="1"/>
      <c r="K118" s="1" t="s">
        <v>168</v>
      </c>
      <c r="L118" s="1" t="s">
        <v>299</v>
      </c>
      <c r="M118">
        <v>5135</v>
      </c>
      <c r="N118" s="1" t="s">
        <v>32</v>
      </c>
      <c r="O118" s="1" t="s">
        <v>32</v>
      </c>
      <c r="P118" s="10">
        <v>45585</v>
      </c>
      <c r="Q118" s="10">
        <v>45613</v>
      </c>
      <c r="R118" s="10">
        <v>45610</v>
      </c>
      <c r="S118" s="1" t="s">
        <v>92</v>
      </c>
      <c r="T118" s="1" t="s">
        <v>34</v>
      </c>
      <c r="U118">
        <v>28</v>
      </c>
      <c r="V118">
        <v>25</v>
      </c>
      <c r="W118" s="1" t="s">
        <v>57</v>
      </c>
    </row>
    <row r="119" spans="1:23" x14ac:dyDescent="0.25">
      <c r="A119" s="1" t="s">
        <v>64</v>
      </c>
      <c r="B119" s="1" t="s">
        <v>65</v>
      </c>
      <c r="C119" s="1" t="s">
        <v>292</v>
      </c>
      <c r="D119" s="1" t="s">
        <v>204</v>
      </c>
      <c r="E119" s="1" t="s">
        <v>64</v>
      </c>
      <c r="F119" s="1" t="s">
        <v>231</v>
      </c>
      <c r="G119" s="1" t="s">
        <v>232</v>
      </c>
      <c r="H119" s="1" t="s">
        <v>300</v>
      </c>
      <c r="I119" s="1" t="s">
        <v>205</v>
      </c>
      <c r="J119" s="1"/>
      <c r="K119" s="1"/>
      <c r="L119" s="1" t="s">
        <v>293</v>
      </c>
      <c r="M119">
        <v>15872</v>
      </c>
      <c r="N119" s="1" t="s">
        <v>32</v>
      </c>
      <c r="O119" s="1" t="s">
        <v>32</v>
      </c>
      <c r="P119" s="10">
        <v>45604</v>
      </c>
      <c r="Q119" s="10">
        <v>45363</v>
      </c>
      <c r="R119" s="10">
        <v>45610</v>
      </c>
      <c r="S119" s="1" t="s">
        <v>92</v>
      </c>
      <c r="T119" s="1" t="s">
        <v>34</v>
      </c>
      <c r="U119">
        <v>-241</v>
      </c>
      <c r="V119">
        <v>6</v>
      </c>
      <c r="W119" s="1" t="s">
        <v>69</v>
      </c>
    </row>
    <row r="120" spans="1:23" x14ac:dyDescent="0.25">
      <c r="A120" s="1" t="s">
        <v>301</v>
      </c>
      <c r="B120" s="1" t="s">
        <v>24</v>
      </c>
      <c r="C120" s="1" t="s">
        <v>94</v>
      </c>
      <c r="D120" s="1" t="s">
        <v>72</v>
      </c>
      <c r="E120" s="1" t="s">
        <v>73</v>
      </c>
      <c r="F120" s="1" t="s">
        <v>28</v>
      </c>
      <c r="G120" s="1" t="s">
        <v>78</v>
      </c>
      <c r="H120" s="1" t="s">
        <v>273</v>
      </c>
      <c r="I120" s="1" t="s">
        <v>205</v>
      </c>
      <c r="J120" s="1"/>
      <c r="K120" s="1" t="s">
        <v>242</v>
      </c>
      <c r="L120" s="1" t="s">
        <v>30</v>
      </c>
      <c r="M120">
        <v>6000</v>
      </c>
      <c r="N120" s="1" t="s">
        <v>302</v>
      </c>
      <c r="O120" s="1" t="s">
        <v>41</v>
      </c>
      <c r="P120" s="10">
        <v>45618</v>
      </c>
      <c r="Q120" s="10">
        <v>45628</v>
      </c>
      <c r="R120" s="10">
        <v>45623</v>
      </c>
      <c r="S120" s="1" t="s">
        <v>92</v>
      </c>
      <c r="T120" s="1" t="s">
        <v>34</v>
      </c>
      <c r="U120">
        <v>10</v>
      </c>
      <c r="V120">
        <v>5</v>
      </c>
      <c r="W120" s="1" t="s">
        <v>57</v>
      </c>
    </row>
    <row r="121" spans="1:23" x14ac:dyDescent="0.25">
      <c r="A121" s="1" t="s">
        <v>303</v>
      </c>
      <c r="B121" s="1" t="s">
        <v>24</v>
      </c>
      <c r="C121" s="1" t="s">
        <v>112</v>
      </c>
      <c r="D121" s="1" t="s">
        <v>72</v>
      </c>
      <c r="E121" s="1" t="s">
        <v>27</v>
      </c>
      <c r="F121" s="1" t="s">
        <v>257</v>
      </c>
      <c r="G121" s="1" t="s">
        <v>304</v>
      </c>
      <c r="H121" s="1" t="s">
        <v>305</v>
      </c>
      <c r="I121" s="1" t="s">
        <v>205</v>
      </c>
      <c r="J121" s="1"/>
      <c r="K121" s="1"/>
      <c r="L121" s="1" t="s">
        <v>306</v>
      </c>
      <c r="M121">
        <v>10249</v>
      </c>
      <c r="N121" s="1" t="s">
        <v>307</v>
      </c>
      <c r="O121" s="1" t="s">
        <v>41</v>
      </c>
      <c r="P121" s="10">
        <v>45623</v>
      </c>
      <c r="Q121" s="10">
        <v>45636</v>
      </c>
      <c r="R121" s="10">
        <v>45645</v>
      </c>
      <c r="S121" s="1" t="s">
        <v>92</v>
      </c>
      <c r="T121" s="1" t="s">
        <v>34</v>
      </c>
      <c r="U121">
        <v>13</v>
      </c>
      <c r="V121">
        <v>22</v>
      </c>
      <c r="W121" s="1" t="s">
        <v>69</v>
      </c>
    </row>
    <row r="122" spans="1:23" x14ac:dyDescent="0.25">
      <c r="A122" s="1" t="s">
        <v>308</v>
      </c>
      <c r="B122" s="1" t="s">
        <v>24</v>
      </c>
      <c r="C122" s="1" t="s">
        <v>115</v>
      </c>
      <c r="D122" s="1" t="s">
        <v>72</v>
      </c>
      <c r="E122" s="1" t="s">
        <v>27</v>
      </c>
      <c r="F122" s="1" t="s">
        <v>257</v>
      </c>
      <c r="G122" s="1" t="s">
        <v>304</v>
      </c>
      <c r="H122" s="1" t="s">
        <v>305</v>
      </c>
      <c r="I122" s="1" t="s">
        <v>205</v>
      </c>
      <c r="J122" s="1"/>
      <c r="K122" s="1"/>
      <c r="L122" s="1" t="s">
        <v>309</v>
      </c>
      <c r="M122">
        <v>10249</v>
      </c>
      <c r="N122" s="1" t="s">
        <v>32</v>
      </c>
      <c r="O122" s="1" t="s">
        <v>32</v>
      </c>
      <c r="P122" s="10">
        <v>45626</v>
      </c>
      <c r="Q122" s="10">
        <v>45638</v>
      </c>
      <c r="S122" s="1"/>
      <c r="T122" s="1" t="s">
        <v>90</v>
      </c>
      <c r="U122">
        <v>12</v>
      </c>
      <c r="V122">
        <v>0</v>
      </c>
      <c r="W122" s="1"/>
    </row>
    <row r="123" spans="1:23" x14ac:dyDescent="0.25">
      <c r="A123" s="1" t="s">
        <v>308</v>
      </c>
      <c r="B123" s="1" t="s">
        <v>24</v>
      </c>
      <c r="C123" s="1" t="s">
        <v>115</v>
      </c>
      <c r="D123" s="1" t="s">
        <v>72</v>
      </c>
      <c r="E123" s="1" t="s">
        <v>27</v>
      </c>
      <c r="F123" s="1" t="s">
        <v>257</v>
      </c>
      <c r="G123" s="1" t="s">
        <v>140</v>
      </c>
      <c r="H123" s="1"/>
      <c r="I123" s="1" t="s">
        <v>205</v>
      </c>
      <c r="J123" s="1"/>
      <c r="K123" s="1"/>
      <c r="L123" s="1" t="s">
        <v>309</v>
      </c>
      <c r="M123">
        <v>9029</v>
      </c>
      <c r="N123" s="1" t="s">
        <v>32</v>
      </c>
      <c r="O123" s="1" t="s">
        <v>32</v>
      </c>
      <c r="P123" s="10">
        <v>45626</v>
      </c>
      <c r="Q123" s="10">
        <v>45638</v>
      </c>
      <c r="S123" s="1"/>
      <c r="T123" s="1" t="s">
        <v>90</v>
      </c>
      <c r="U123">
        <v>12</v>
      </c>
      <c r="V123">
        <v>0</v>
      </c>
      <c r="W123" s="1"/>
    </row>
    <row r="124" spans="1:23" x14ac:dyDescent="0.25">
      <c r="A124" s="1" t="s">
        <v>310</v>
      </c>
      <c r="B124" s="1" t="s">
        <v>24</v>
      </c>
      <c r="C124" s="1" t="s">
        <v>207</v>
      </c>
      <c r="D124" s="1" t="s">
        <v>167</v>
      </c>
      <c r="E124" s="1" t="s">
        <v>27</v>
      </c>
      <c r="F124" s="1" t="s">
        <v>257</v>
      </c>
      <c r="G124" s="1" t="s">
        <v>311</v>
      </c>
      <c r="H124" s="1"/>
      <c r="I124" s="1" t="s">
        <v>205</v>
      </c>
      <c r="J124" s="1"/>
      <c r="K124" s="1"/>
      <c r="L124" s="1" t="s">
        <v>285</v>
      </c>
      <c r="M124">
        <v>9029</v>
      </c>
      <c r="N124" s="1" t="s">
        <v>32</v>
      </c>
      <c r="O124" s="1" t="s">
        <v>32</v>
      </c>
      <c r="P124" s="10">
        <v>45626</v>
      </c>
      <c r="Q124" s="10">
        <v>45638</v>
      </c>
      <c r="S124" s="1"/>
      <c r="T124" s="1" t="s">
        <v>90</v>
      </c>
      <c r="U124">
        <v>12</v>
      </c>
      <c r="V124">
        <v>0</v>
      </c>
      <c r="W124" s="1"/>
    </row>
    <row r="125" spans="1:23" x14ac:dyDescent="0.25">
      <c r="A125" s="1" t="s">
        <v>312</v>
      </c>
      <c r="B125" s="1" t="s">
        <v>24</v>
      </c>
      <c r="C125" s="1" t="s">
        <v>193</v>
      </c>
      <c r="D125" s="1" t="s">
        <v>133</v>
      </c>
      <c r="E125" s="1" t="s">
        <v>27</v>
      </c>
      <c r="F125" s="1" t="s">
        <v>28</v>
      </c>
      <c r="G125" s="1" t="s">
        <v>29</v>
      </c>
      <c r="H125" s="1"/>
      <c r="I125" s="1" t="s">
        <v>205</v>
      </c>
      <c r="J125" s="1"/>
      <c r="K125" s="1"/>
      <c r="L125" s="1" t="s">
        <v>38</v>
      </c>
      <c r="M125">
        <v>10249</v>
      </c>
      <c r="N125" s="1" t="s">
        <v>307</v>
      </c>
      <c r="O125" s="1" t="s">
        <v>41</v>
      </c>
      <c r="P125" s="10">
        <v>45630</v>
      </c>
      <c r="Q125" s="10">
        <v>45640</v>
      </c>
      <c r="R125" s="10">
        <v>45645</v>
      </c>
      <c r="S125" s="1" t="s">
        <v>92</v>
      </c>
      <c r="T125" s="1" t="s">
        <v>34</v>
      </c>
      <c r="U125">
        <v>10</v>
      </c>
      <c r="V125">
        <v>15</v>
      </c>
      <c r="W125" s="1" t="s">
        <v>69</v>
      </c>
    </row>
    <row r="126" spans="1:23" x14ac:dyDescent="0.25">
      <c r="A126" s="1" t="s">
        <v>313</v>
      </c>
      <c r="B126" s="1" t="s">
        <v>24</v>
      </c>
      <c r="C126" s="1" t="s">
        <v>115</v>
      </c>
      <c r="D126" s="1" t="s">
        <v>72</v>
      </c>
      <c r="E126" s="1" t="s">
        <v>27</v>
      </c>
      <c r="F126" s="1" t="s">
        <v>257</v>
      </c>
      <c r="G126" s="1" t="s">
        <v>304</v>
      </c>
      <c r="H126" s="1" t="s">
        <v>305</v>
      </c>
      <c r="I126" s="1" t="s">
        <v>205</v>
      </c>
      <c r="J126" s="1"/>
      <c r="K126" s="1"/>
      <c r="L126" s="1" t="s">
        <v>309</v>
      </c>
      <c r="M126">
        <v>11199</v>
      </c>
      <c r="N126" s="1" t="s">
        <v>314</v>
      </c>
      <c r="O126" s="1" t="s">
        <v>41</v>
      </c>
      <c r="P126" s="10">
        <v>45638</v>
      </c>
      <c r="Q126" s="10">
        <v>45650</v>
      </c>
      <c r="R126" s="10">
        <v>45645</v>
      </c>
      <c r="S126" s="1" t="s">
        <v>92</v>
      </c>
      <c r="T126" s="1" t="s">
        <v>34</v>
      </c>
      <c r="U126">
        <v>12</v>
      </c>
      <c r="V126">
        <v>7</v>
      </c>
      <c r="W126" s="1" t="s">
        <v>57</v>
      </c>
    </row>
    <row r="127" spans="1:23" x14ac:dyDescent="0.25">
      <c r="A127" s="1" t="s">
        <v>64</v>
      </c>
      <c r="B127" s="1" t="s">
        <v>65</v>
      </c>
      <c r="C127" s="1" t="s">
        <v>292</v>
      </c>
      <c r="D127" s="1" t="s">
        <v>204</v>
      </c>
      <c r="E127" s="1" t="s">
        <v>64</v>
      </c>
      <c r="F127" s="1" t="s">
        <v>231</v>
      </c>
      <c r="G127" s="1" t="s">
        <v>232</v>
      </c>
      <c r="H127" s="1" t="s">
        <v>300</v>
      </c>
      <c r="I127" s="1" t="s">
        <v>205</v>
      </c>
      <c r="J127" s="1"/>
      <c r="K127" s="1"/>
      <c r="L127" s="1" t="s">
        <v>315</v>
      </c>
      <c r="M127">
        <v>8700</v>
      </c>
      <c r="N127" s="1" t="s">
        <v>135</v>
      </c>
      <c r="O127" s="1" t="s">
        <v>135</v>
      </c>
      <c r="P127" s="10">
        <v>45640</v>
      </c>
      <c r="Q127" s="10">
        <v>45662</v>
      </c>
      <c r="R127" s="10">
        <v>45655</v>
      </c>
      <c r="S127" s="1" t="s">
        <v>92</v>
      </c>
      <c r="T127" s="1" t="s">
        <v>34</v>
      </c>
      <c r="U127">
        <v>22</v>
      </c>
      <c r="V127">
        <v>15</v>
      </c>
      <c r="W127" s="1" t="s">
        <v>57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W127"/>
  <sheetViews>
    <sheetView rightToLeft="1" workbookViewId="0">
      <selection activeCell="N15" sqref="N15"/>
    </sheetView>
  </sheetViews>
  <sheetFormatPr defaultRowHeight="15" x14ac:dyDescent="0.25"/>
  <cols>
    <col min="1" max="1" width="11.5703125" customWidth="1"/>
    <col min="2" max="2" width="11.140625" customWidth="1"/>
    <col min="4" max="4" width="10.28515625" customWidth="1"/>
    <col min="5" max="5" width="11.42578125" customWidth="1"/>
    <col min="10" max="10" width="10.85546875" customWidth="1"/>
    <col min="11" max="11" width="11.5703125" customWidth="1"/>
    <col min="13" max="13" width="10.42578125" customWidth="1"/>
    <col min="14" max="14" width="12.42578125" customWidth="1"/>
    <col min="15" max="15" width="10.28515625" customWidth="1"/>
    <col min="16" max="16" width="12.42578125" customWidth="1"/>
    <col min="17" max="18" width="13.140625" customWidth="1"/>
    <col min="19" max="19" width="18.140625" customWidth="1"/>
    <col min="21" max="21" width="18.5703125" customWidth="1"/>
    <col min="22" max="22" width="18.42578125" customWidth="1"/>
    <col min="23" max="23" width="13.28515625" customWidth="1"/>
  </cols>
  <sheetData>
    <row r="1" spans="1:23"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row>
    <row r="2" spans="1:23" x14ac:dyDescent="0.25">
      <c r="A2" t="s">
        <v>23</v>
      </c>
      <c r="B2" t="s">
        <v>24</v>
      </c>
      <c r="C2" t="s">
        <v>25</v>
      </c>
      <c r="D2" t="s">
        <v>26</v>
      </c>
      <c r="E2" t="s">
        <v>27</v>
      </c>
      <c r="F2" t="s">
        <v>28</v>
      </c>
      <c r="G2" t="s">
        <v>29</v>
      </c>
      <c r="J2" t="s">
        <v>30</v>
      </c>
      <c r="L2" t="s">
        <v>31</v>
      </c>
      <c r="M2">
        <v>10160</v>
      </c>
      <c r="N2" t="s">
        <v>32</v>
      </c>
      <c r="O2" t="s">
        <v>32</v>
      </c>
      <c r="P2">
        <v>45500</v>
      </c>
      <c r="R2">
        <v>45514</v>
      </c>
      <c r="S2" t="s">
        <v>33</v>
      </c>
      <c r="T2" t="s">
        <v>34</v>
      </c>
      <c r="U2">
        <v>0</v>
      </c>
      <c r="V2">
        <v>14</v>
      </c>
    </row>
    <row r="3" spans="1:23" x14ac:dyDescent="0.25">
      <c r="A3" t="s">
        <v>35</v>
      </c>
      <c r="B3" t="s">
        <v>24</v>
      </c>
      <c r="C3" t="s">
        <v>36</v>
      </c>
      <c r="D3" t="s">
        <v>37</v>
      </c>
      <c r="E3" t="s">
        <v>27</v>
      </c>
      <c r="F3" t="s">
        <v>28</v>
      </c>
      <c r="G3" t="s">
        <v>29</v>
      </c>
      <c r="J3" t="s">
        <v>38</v>
      </c>
      <c r="L3" t="s">
        <v>39</v>
      </c>
      <c r="M3">
        <v>10160</v>
      </c>
      <c r="N3" t="s">
        <v>40</v>
      </c>
      <c r="O3" t="s">
        <v>41</v>
      </c>
      <c r="P3">
        <v>45501</v>
      </c>
      <c r="R3">
        <v>45515</v>
      </c>
      <c r="S3" t="s">
        <v>33</v>
      </c>
      <c r="T3" t="s">
        <v>34</v>
      </c>
      <c r="U3">
        <v>0</v>
      </c>
      <c r="V3">
        <v>14</v>
      </c>
    </row>
    <row r="4" spans="1:23" x14ac:dyDescent="0.25">
      <c r="A4" t="s">
        <v>42</v>
      </c>
      <c r="B4" t="s">
        <v>24</v>
      </c>
      <c r="C4" t="s">
        <v>43</v>
      </c>
      <c r="D4" t="s">
        <v>44</v>
      </c>
      <c r="E4" t="s">
        <v>27</v>
      </c>
      <c r="F4" t="s">
        <v>28</v>
      </c>
      <c r="G4" t="s">
        <v>45</v>
      </c>
      <c r="H4" t="s">
        <v>46</v>
      </c>
      <c r="I4" t="s">
        <v>47</v>
      </c>
      <c r="J4" t="s">
        <v>48</v>
      </c>
      <c r="L4" t="s">
        <v>49</v>
      </c>
      <c r="M4">
        <v>11455</v>
      </c>
      <c r="N4" t="s">
        <v>50</v>
      </c>
      <c r="O4" t="s">
        <v>41</v>
      </c>
      <c r="P4">
        <v>45500</v>
      </c>
      <c r="S4" t="s">
        <v>51</v>
      </c>
      <c r="T4" t="s">
        <v>51</v>
      </c>
      <c r="U4">
        <v>0</v>
      </c>
      <c r="V4">
        <v>0</v>
      </c>
    </row>
    <row r="5" spans="1:23" x14ac:dyDescent="0.25">
      <c r="A5" t="s">
        <v>52</v>
      </c>
      <c r="B5" t="s">
        <v>24</v>
      </c>
      <c r="C5" t="s">
        <v>53</v>
      </c>
      <c r="D5" t="s">
        <v>54</v>
      </c>
      <c r="E5" t="s">
        <v>27</v>
      </c>
      <c r="F5" t="s">
        <v>55</v>
      </c>
      <c r="L5" t="s">
        <v>56</v>
      </c>
      <c r="M5">
        <v>8642</v>
      </c>
      <c r="N5" t="s">
        <v>32</v>
      </c>
      <c r="O5" t="s">
        <v>32</v>
      </c>
      <c r="P5">
        <v>45529</v>
      </c>
      <c r="Q5">
        <v>45542</v>
      </c>
      <c r="R5">
        <v>45531</v>
      </c>
      <c r="S5" t="s">
        <v>33</v>
      </c>
      <c r="T5" t="s">
        <v>34</v>
      </c>
      <c r="U5">
        <v>13</v>
      </c>
      <c r="V5">
        <v>2</v>
      </c>
      <c r="W5" t="s">
        <v>57</v>
      </c>
    </row>
    <row r="6" spans="1:23" x14ac:dyDescent="0.25">
      <c r="A6" t="s">
        <v>58</v>
      </c>
      <c r="B6" t="s">
        <v>24</v>
      </c>
      <c r="C6" t="s">
        <v>43</v>
      </c>
      <c r="D6" t="s">
        <v>44</v>
      </c>
      <c r="E6" t="s">
        <v>27</v>
      </c>
      <c r="F6" t="s">
        <v>28</v>
      </c>
      <c r="G6" t="s">
        <v>45</v>
      </c>
      <c r="H6" t="s">
        <v>59</v>
      </c>
      <c r="I6" t="s">
        <v>60</v>
      </c>
      <c r="J6" t="s">
        <v>61</v>
      </c>
      <c r="L6" t="s">
        <v>62</v>
      </c>
      <c r="M6">
        <v>12833</v>
      </c>
      <c r="N6" t="s">
        <v>63</v>
      </c>
      <c r="O6" t="s">
        <v>41</v>
      </c>
      <c r="P6">
        <v>45520</v>
      </c>
      <c r="Q6">
        <v>45535</v>
      </c>
      <c r="S6" t="s">
        <v>51</v>
      </c>
      <c r="T6" t="s">
        <v>51</v>
      </c>
      <c r="U6">
        <v>15</v>
      </c>
      <c r="V6">
        <v>0</v>
      </c>
    </row>
    <row r="7" spans="1:23" x14ac:dyDescent="0.25">
      <c r="A7" t="s">
        <v>64</v>
      </c>
      <c r="B7" t="s">
        <v>65</v>
      </c>
      <c r="E7" t="s">
        <v>64</v>
      </c>
      <c r="F7" t="s">
        <v>66</v>
      </c>
      <c r="G7" t="s">
        <v>67</v>
      </c>
      <c r="J7" t="s">
        <v>61</v>
      </c>
      <c r="L7" t="s">
        <v>68</v>
      </c>
      <c r="M7">
        <v>14550</v>
      </c>
      <c r="N7" t="s">
        <v>32</v>
      </c>
      <c r="O7" t="s">
        <v>32</v>
      </c>
      <c r="P7">
        <v>45518</v>
      </c>
      <c r="Q7">
        <v>45538</v>
      </c>
      <c r="R7">
        <v>45540</v>
      </c>
      <c r="S7" t="s">
        <v>33</v>
      </c>
      <c r="T7" t="s">
        <v>34</v>
      </c>
      <c r="U7">
        <v>20</v>
      </c>
      <c r="V7">
        <v>22</v>
      </c>
      <c r="W7" t="s">
        <v>69</v>
      </c>
    </row>
    <row r="8" spans="1:23" x14ac:dyDescent="0.25">
      <c r="A8" t="s">
        <v>70</v>
      </c>
      <c r="B8" t="s">
        <v>24</v>
      </c>
      <c r="C8" t="s">
        <v>71</v>
      </c>
      <c r="D8" t="s">
        <v>72</v>
      </c>
      <c r="E8" t="s">
        <v>73</v>
      </c>
      <c r="F8" t="s">
        <v>66</v>
      </c>
      <c r="G8" t="s">
        <v>67</v>
      </c>
      <c r="J8" t="s">
        <v>61</v>
      </c>
      <c r="L8" t="s">
        <v>68</v>
      </c>
      <c r="M8">
        <v>12000</v>
      </c>
      <c r="N8" t="s">
        <v>74</v>
      </c>
      <c r="O8" t="s">
        <v>41</v>
      </c>
      <c r="P8">
        <v>45521</v>
      </c>
      <c r="Q8">
        <v>45524</v>
      </c>
      <c r="R8">
        <v>45523</v>
      </c>
      <c r="S8" t="s">
        <v>75</v>
      </c>
      <c r="T8" t="s">
        <v>34</v>
      </c>
      <c r="U8">
        <v>3</v>
      </c>
      <c r="V8">
        <v>2</v>
      </c>
      <c r="W8" t="s">
        <v>57</v>
      </c>
    </row>
    <row r="9" spans="1:23" x14ac:dyDescent="0.25">
      <c r="A9" t="s">
        <v>76</v>
      </c>
      <c r="B9" t="s">
        <v>24</v>
      </c>
      <c r="C9" t="s">
        <v>77</v>
      </c>
      <c r="D9" t="s">
        <v>26</v>
      </c>
      <c r="E9" t="s">
        <v>27</v>
      </c>
      <c r="F9" t="s">
        <v>28</v>
      </c>
      <c r="G9" t="s">
        <v>78</v>
      </c>
      <c r="J9" t="s">
        <v>30</v>
      </c>
      <c r="L9" t="s">
        <v>79</v>
      </c>
      <c r="M9">
        <v>7228</v>
      </c>
      <c r="N9" t="s">
        <v>32</v>
      </c>
      <c r="O9" t="s">
        <v>32</v>
      </c>
      <c r="P9">
        <v>45529</v>
      </c>
      <c r="Q9">
        <v>45538</v>
      </c>
      <c r="R9">
        <v>45545</v>
      </c>
      <c r="S9" t="s">
        <v>33</v>
      </c>
      <c r="T9" t="s">
        <v>34</v>
      </c>
      <c r="U9">
        <v>9</v>
      </c>
      <c r="V9">
        <v>16</v>
      </c>
      <c r="W9" t="s">
        <v>69</v>
      </c>
    </row>
    <row r="10" spans="1:23" x14ac:dyDescent="0.25">
      <c r="A10" t="s">
        <v>80</v>
      </c>
      <c r="B10" t="s">
        <v>65</v>
      </c>
      <c r="C10" t="s">
        <v>81</v>
      </c>
      <c r="D10" t="s">
        <v>72</v>
      </c>
      <c r="E10" t="s">
        <v>80</v>
      </c>
      <c r="F10" t="s">
        <v>82</v>
      </c>
      <c r="G10" t="s">
        <v>83</v>
      </c>
      <c r="L10" t="s">
        <v>84</v>
      </c>
      <c r="M10">
        <v>22000</v>
      </c>
      <c r="N10" t="s">
        <v>85</v>
      </c>
      <c r="O10" t="s">
        <v>41</v>
      </c>
      <c r="P10">
        <v>45523</v>
      </c>
      <c r="Q10">
        <v>45536</v>
      </c>
      <c r="R10">
        <v>45552</v>
      </c>
      <c r="T10" t="s">
        <v>34</v>
      </c>
      <c r="U10">
        <v>13</v>
      </c>
      <c r="V10">
        <v>29</v>
      </c>
      <c r="W10" t="s">
        <v>69</v>
      </c>
    </row>
    <row r="11" spans="1:23" x14ac:dyDescent="0.25">
      <c r="A11" t="s">
        <v>80</v>
      </c>
      <c r="B11" t="s">
        <v>65</v>
      </c>
      <c r="C11" t="s">
        <v>81</v>
      </c>
      <c r="D11" t="s">
        <v>72</v>
      </c>
      <c r="E11" t="s">
        <v>80</v>
      </c>
      <c r="F11" t="s">
        <v>66</v>
      </c>
      <c r="G11" t="s">
        <v>86</v>
      </c>
      <c r="L11" t="s">
        <v>87</v>
      </c>
      <c r="M11">
        <v>16000</v>
      </c>
      <c r="N11" t="s">
        <v>88</v>
      </c>
      <c r="O11" t="s">
        <v>41</v>
      </c>
      <c r="S11" t="s">
        <v>89</v>
      </c>
      <c r="T11" t="s">
        <v>90</v>
      </c>
      <c r="U11">
        <v>0</v>
      </c>
      <c r="V11">
        <v>0</v>
      </c>
    </row>
    <row r="12" spans="1:23" x14ac:dyDescent="0.25">
      <c r="A12" t="s">
        <v>80</v>
      </c>
      <c r="B12" t="s">
        <v>65</v>
      </c>
      <c r="C12" t="s">
        <v>81</v>
      </c>
      <c r="D12" t="s">
        <v>72</v>
      </c>
      <c r="E12" t="s">
        <v>80</v>
      </c>
      <c r="F12" t="s">
        <v>66</v>
      </c>
      <c r="G12" t="s">
        <v>86</v>
      </c>
      <c r="L12" t="s">
        <v>91</v>
      </c>
      <c r="M12">
        <v>6000</v>
      </c>
      <c r="N12" t="s">
        <v>74</v>
      </c>
      <c r="O12" t="s">
        <v>41</v>
      </c>
      <c r="P12">
        <v>45529</v>
      </c>
      <c r="Q12">
        <v>45550</v>
      </c>
      <c r="R12">
        <v>45552</v>
      </c>
      <c r="S12" t="s">
        <v>92</v>
      </c>
      <c r="T12" t="s">
        <v>34</v>
      </c>
      <c r="U12">
        <v>21</v>
      </c>
      <c r="V12">
        <v>23</v>
      </c>
      <c r="W12" t="s">
        <v>69</v>
      </c>
    </row>
    <row r="13" spans="1:23" x14ac:dyDescent="0.25">
      <c r="A13" t="s">
        <v>80</v>
      </c>
      <c r="B13" t="s">
        <v>65</v>
      </c>
      <c r="C13" t="s">
        <v>81</v>
      </c>
      <c r="D13" t="s">
        <v>72</v>
      </c>
      <c r="E13" t="s">
        <v>80</v>
      </c>
      <c r="F13" t="s">
        <v>66</v>
      </c>
      <c r="G13" t="s">
        <v>86</v>
      </c>
      <c r="L13" t="s">
        <v>91</v>
      </c>
      <c r="M13">
        <v>6000</v>
      </c>
      <c r="N13" t="s">
        <v>74</v>
      </c>
      <c r="O13" t="s">
        <v>41</v>
      </c>
      <c r="P13">
        <v>45529</v>
      </c>
      <c r="Q13">
        <v>45550</v>
      </c>
      <c r="R13">
        <v>45552</v>
      </c>
      <c r="S13" t="s">
        <v>92</v>
      </c>
      <c r="T13" t="s">
        <v>34</v>
      </c>
      <c r="U13">
        <v>21</v>
      </c>
      <c r="V13">
        <v>23</v>
      </c>
      <c r="W13" t="s">
        <v>69</v>
      </c>
    </row>
    <row r="14" spans="1:23" x14ac:dyDescent="0.25">
      <c r="A14" t="s">
        <v>93</v>
      </c>
      <c r="B14" t="s">
        <v>24</v>
      </c>
      <c r="C14" t="s">
        <v>94</v>
      </c>
      <c r="D14" t="s">
        <v>72</v>
      </c>
      <c r="E14" t="s">
        <v>27</v>
      </c>
      <c r="F14" t="s">
        <v>28</v>
      </c>
      <c r="G14" t="s">
        <v>45</v>
      </c>
      <c r="H14" t="s">
        <v>59</v>
      </c>
      <c r="I14" t="s">
        <v>95</v>
      </c>
      <c r="J14" t="s">
        <v>30</v>
      </c>
      <c r="L14" t="s">
        <v>96</v>
      </c>
      <c r="M14">
        <v>10499</v>
      </c>
      <c r="N14" t="s">
        <v>97</v>
      </c>
      <c r="O14" t="s">
        <v>41</v>
      </c>
      <c r="P14">
        <v>45536</v>
      </c>
      <c r="Q14">
        <v>45551</v>
      </c>
      <c r="R14">
        <v>45543</v>
      </c>
      <c r="S14" t="s">
        <v>33</v>
      </c>
      <c r="T14" t="s">
        <v>34</v>
      </c>
      <c r="U14">
        <v>15</v>
      </c>
      <c r="V14">
        <v>7</v>
      </c>
      <c r="W14" t="s">
        <v>57</v>
      </c>
    </row>
    <row r="15" spans="1:23" x14ac:dyDescent="0.25">
      <c r="A15" t="s">
        <v>98</v>
      </c>
      <c r="B15" t="s">
        <v>24</v>
      </c>
      <c r="C15" t="s">
        <v>77</v>
      </c>
      <c r="D15" t="s">
        <v>26</v>
      </c>
      <c r="E15" t="s">
        <v>27</v>
      </c>
      <c r="F15" t="s">
        <v>28</v>
      </c>
      <c r="G15" t="s">
        <v>78</v>
      </c>
      <c r="H15" t="s">
        <v>59</v>
      </c>
      <c r="I15" t="s">
        <v>95</v>
      </c>
      <c r="J15" t="s">
        <v>30</v>
      </c>
      <c r="L15" t="s">
        <v>99</v>
      </c>
      <c r="M15">
        <v>7295</v>
      </c>
      <c r="N15" t="s">
        <v>100</v>
      </c>
      <c r="O15" t="s">
        <v>41</v>
      </c>
      <c r="P15">
        <v>45540</v>
      </c>
      <c r="Q15">
        <v>45549</v>
      </c>
      <c r="T15" t="s">
        <v>90</v>
      </c>
      <c r="U15">
        <v>9</v>
      </c>
      <c r="V15">
        <v>0</v>
      </c>
    </row>
    <row r="16" spans="1:23" x14ac:dyDescent="0.25">
      <c r="A16" t="s">
        <v>101</v>
      </c>
      <c r="B16" t="s">
        <v>24</v>
      </c>
      <c r="C16" t="s">
        <v>102</v>
      </c>
      <c r="D16" t="s">
        <v>72</v>
      </c>
      <c r="E16" t="s">
        <v>27</v>
      </c>
      <c r="F16" t="s">
        <v>55</v>
      </c>
      <c r="G16" t="s">
        <v>103</v>
      </c>
      <c r="L16" t="s">
        <v>104</v>
      </c>
      <c r="M16">
        <v>7849</v>
      </c>
      <c r="N16" t="s">
        <v>32</v>
      </c>
      <c r="O16" t="s">
        <v>32</v>
      </c>
      <c r="P16">
        <v>45539</v>
      </c>
      <c r="Q16">
        <v>45551</v>
      </c>
      <c r="R16">
        <v>45560</v>
      </c>
      <c r="S16" t="s">
        <v>33</v>
      </c>
      <c r="T16" t="s">
        <v>105</v>
      </c>
      <c r="U16">
        <v>12</v>
      </c>
      <c r="V16">
        <v>21</v>
      </c>
      <c r="W16" t="s">
        <v>69</v>
      </c>
    </row>
    <row r="17" spans="1:23" x14ac:dyDescent="0.25">
      <c r="A17" t="s">
        <v>106</v>
      </c>
      <c r="B17" t="s">
        <v>24</v>
      </c>
      <c r="C17" t="s">
        <v>71</v>
      </c>
      <c r="D17" t="s">
        <v>72</v>
      </c>
      <c r="E17" t="s">
        <v>107</v>
      </c>
      <c r="F17" t="s">
        <v>28</v>
      </c>
      <c r="G17" t="s">
        <v>45</v>
      </c>
      <c r="H17" t="s">
        <v>46</v>
      </c>
      <c r="I17" t="s">
        <v>108</v>
      </c>
      <c r="J17" t="s">
        <v>38</v>
      </c>
      <c r="L17" t="s">
        <v>109</v>
      </c>
      <c r="M17">
        <v>6180</v>
      </c>
      <c r="N17" t="s">
        <v>110</v>
      </c>
      <c r="O17" t="s">
        <v>41</v>
      </c>
      <c r="P17">
        <v>45538</v>
      </c>
      <c r="Q17">
        <v>45551</v>
      </c>
      <c r="R17">
        <v>45550</v>
      </c>
      <c r="S17" t="s">
        <v>92</v>
      </c>
      <c r="T17" t="s">
        <v>34</v>
      </c>
      <c r="U17">
        <v>13</v>
      </c>
      <c r="V17">
        <v>12</v>
      </c>
      <c r="W17" t="s">
        <v>57</v>
      </c>
    </row>
    <row r="18" spans="1:23" x14ac:dyDescent="0.25">
      <c r="A18" t="s">
        <v>106</v>
      </c>
      <c r="B18" t="s">
        <v>24</v>
      </c>
      <c r="C18" t="s">
        <v>71</v>
      </c>
      <c r="D18" t="s">
        <v>72</v>
      </c>
      <c r="E18" t="s">
        <v>107</v>
      </c>
      <c r="F18" t="s">
        <v>28</v>
      </c>
      <c r="G18" t="s">
        <v>45</v>
      </c>
      <c r="H18" t="s">
        <v>46</v>
      </c>
      <c r="I18" t="s">
        <v>108</v>
      </c>
      <c r="J18" t="s">
        <v>38</v>
      </c>
      <c r="L18" t="s">
        <v>109</v>
      </c>
      <c r="M18">
        <v>6180</v>
      </c>
      <c r="N18" t="s">
        <v>110</v>
      </c>
      <c r="O18" t="s">
        <v>41</v>
      </c>
      <c r="P18">
        <v>45538</v>
      </c>
      <c r="Q18">
        <v>45551</v>
      </c>
      <c r="R18">
        <v>45550</v>
      </c>
      <c r="S18" t="s">
        <v>92</v>
      </c>
      <c r="T18" t="s">
        <v>34</v>
      </c>
      <c r="U18">
        <v>13</v>
      </c>
      <c r="V18">
        <v>12</v>
      </c>
      <c r="W18" t="s">
        <v>57</v>
      </c>
    </row>
    <row r="19" spans="1:23" x14ac:dyDescent="0.25">
      <c r="A19" t="s">
        <v>111</v>
      </c>
      <c r="B19" t="s">
        <v>24</v>
      </c>
      <c r="C19" t="s">
        <v>112</v>
      </c>
      <c r="D19" t="s">
        <v>72</v>
      </c>
      <c r="E19" t="s">
        <v>27</v>
      </c>
      <c r="F19" t="s">
        <v>28</v>
      </c>
      <c r="G19" t="s">
        <v>45</v>
      </c>
      <c r="H19" t="s">
        <v>46</v>
      </c>
      <c r="I19" t="s">
        <v>95</v>
      </c>
      <c r="J19" t="s">
        <v>30</v>
      </c>
      <c r="L19" t="s">
        <v>113</v>
      </c>
      <c r="M19">
        <v>11199</v>
      </c>
      <c r="N19" t="s">
        <v>114</v>
      </c>
      <c r="O19" t="s">
        <v>41</v>
      </c>
      <c r="P19">
        <v>45539</v>
      </c>
      <c r="Q19">
        <v>45553</v>
      </c>
      <c r="T19" t="s">
        <v>90</v>
      </c>
      <c r="U19">
        <v>14</v>
      </c>
      <c r="V19">
        <v>0</v>
      </c>
    </row>
    <row r="20" spans="1:23" x14ac:dyDescent="0.25">
      <c r="A20" t="s">
        <v>70</v>
      </c>
      <c r="B20" t="s">
        <v>24</v>
      </c>
      <c r="C20" t="s">
        <v>115</v>
      </c>
      <c r="D20" t="s">
        <v>72</v>
      </c>
      <c r="E20" t="s">
        <v>27</v>
      </c>
      <c r="F20" t="s">
        <v>28</v>
      </c>
      <c r="G20" t="s">
        <v>78</v>
      </c>
      <c r="H20" t="s">
        <v>116</v>
      </c>
      <c r="I20" t="s">
        <v>95</v>
      </c>
      <c r="J20" t="s">
        <v>30</v>
      </c>
      <c r="L20" t="s">
        <v>117</v>
      </c>
      <c r="M20">
        <v>7987</v>
      </c>
      <c r="N20" t="s">
        <v>32</v>
      </c>
      <c r="O20" t="s">
        <v>32</v>
      </c>
      <c r="P20">
        <v>45541</v>
      </c>
      <c r="Q20">
        <v>45551</v>
      </c>
      <c r="R20">
        <v>45556</v>
      </c>
      <c r="S20" t="s">
        <v>92</v>
      </c>
      <c r="T20" t="s">
        <v>34</v>
      </c>
      <c r="U20">
        <v>10</v>
      </c>
      <c r="V20">
        <v>15</v>
      </c>
      <c r="W20" t="s">
        <v>69</v>
      </c>
    </row>
    <row r="21" spans="1:23" x14ac:dyDescent="0.25">
      <c r="A21" t="s">
        <v>80</v>
      </c>
      <c r="B21" t="s">
        <v>65</v>
      </c>
      <c r="C21" t="s">
        <v>81</v>
      </c>
      <c r="D21" t="s">
        <v>72</v>
      </c>
      <c r="E21" t="s">
        <v>80</v>
      </c>
      <c r="F21" t="s">
        <v>118</v>
      </c>
      <c r="G21" t="s">
        <v>119</v>
      </c>
      <c r="L21" t="s">
        <v>120</v>
      </c>
      <c r="M21">
        <v>9300</v>
      </c>
      <c r="N21" t="s">
        <v>121</v>
      </c>
      <c r="O21" t="s">
        <v>41</v>
      </c>
      <c r="P21">
        <v>45539</v>
      </c>
      <c r="Q21">
        <v>45550</v>
      </c>
      <c r="R21">
        <v>45552</v>
      </c>
      <c r="S21" t="s">
        <v>92</v>
      </c>
      <c r="T21" t="s">
        <v>34</v>
      </c>
      <c r="U21">
        <v>11</v>
      </c>
      <c r="V21">
        <v>13</v>
      </c>
      <c r="W21" t="s">
        <v>69</v>
      </c>
    </row>
    <row r="22" spans="1:23" x14ac:dyDescent="0.25">
      <c r="A22" t="s">
        <v>70</v>
      </c>
      <c r="B22" t="s">
        <v>24</v>
      </c>
      <c r="C22" t="s">
        <v>115</v>
      </c>
      <c r="D22" t="s">
        <v>72</v>
      </c>
      <c r="E22" t="s">
        <v>27</v>
      </c>
      <c r="F22" t="s">
        <v>28</v>
      </c>
      <c r="G22" t="s">
        <v>78</v>
      </c>
      <c r="H22" t="s">
        <v>116</v>
      </c>
      <c r="I22" t="s">
        <v>95</v>
      </c>
      <c r="J22" t="s">
        <v>30</v>
      </c>
      <c r="L22" t="s">
        <v>117</v>
      </c>
      <c r="M22">
        <v>7987</v>
      </c>
      <c r="N22" t="s">
        <v>32</v>
      </c>
      <c r="O22" t="s">
        <v>32</v>
      </c>
      <c r="P22">
        <v>45541</v>
      </c>
      <c r="Q22">
        <v>45551</v>
      </c>
      <c r="R22">
        <v>45556</v>
      </c>
      <c r="S22" t="s">
        <v>92</v>
      </c>
      <c r="T22" t="s">
        <v>34</v>
      </c>
      <c r="U22">
        <v>10</v>
      </c>
      <c r="V22">
        <v>15</v>
      </c>
      <c r="W22" t="s">
        <v>69</v>
      </c>
    </row>
    <row r="23" spans="1:23" x14ac:dyDescent="0.25">
      <c r="A23" t="s">
        <v>70</v>
      </c>
      <c r="B23" t="s">
        <v>24</v>
      </c>
      <c r="C23" t="s">
        <v>115</v>
      </c>
      <c r="D23" t="s">
        <v>72</v>
      </c>
      <c r="E23" t="s">
        <v>27</v>
      </c>
      <c r="F23" t="s">
        <v>28</v>
      </c>
      <c r="G23" t="s">
        <v>78</v>
      </c>
      <c r="H23" t="s">
        <v>116</v>
      </c>
      <c r="I23" t="s">
        <v>95</v>
      </c>
      <c r="J23" t="s">
        <v>30</v>
      </c>
      <c r="L23" t="s">
        <v>117</v>
      </c>
      <c r="M23">
        <v>7987</v>
      </c>
      <c r="N23" t="s">
        <v>32</v>
      </c>
      <c r="O23" t="s">
        <v>32</v>
      </c>
      <c r="P23">
        <v>45541</v>
      </c>
      <c r="Q23">
        <v>45551</v>
      </c>
      <c r="R23">
        <v>45556</v>
      </c>
      <c r="S23" t="s">
        <v>92</v>
      </c>
      <c r="T23" t="s">
        <v>34</v>
      </c>
      <c r="U23">
        <v>10</v>
      </c>
      <c r="V23">
        <v>15</v>
      </c>
      <c r="W23" t="s">
        <v>69</v>
      </c>
    </row>
    <row r="24" spans="1:23" x14ac:dyDescent="0.25">
      <c r="A24" t="s">
        <v>70</v>
      </c>
      <c r="B24" t="s">
        <v>24</v>
      </c>
      <c r="C24" t="s">
        <v>115</v>
      </c>
      <c r="D24" t="s">
        <v>72</v>
      </c>
      <c r="E24" t="s">
        <v>27</v>
      </c>
      <c r="F24" t="s">
        <v>28</v>
      </c>
      <c r="G24" t="s">
        <v>78</v>
      </c>
      <c r="H24" t="s">
        <v>116</v>
      </c>
      <c r="I24" t="s">
        <v>95</v>
      </c>
      <c r="J24" t="s">
        <v>30</v>
      </c>
      <c r="L24" t="s">
        <v>117</v>
      </c>
      <c r="M24">
        <v>7987</v>
      </c>
      <c r="N24" t="s">
        <v>32</v>
      </c>
      <c r="O24" t="s">
        <v>32</v>
      </c>
      <c r="P24">
        <v>45541</v>
      </c>
      <c r="Q24">
        <v>45551</v>
      </c>
      <c r="R24">
        <v>45556</v>
      </c>
      <c r="S24" t="s">
        <v>92</v>
      </c>
      <c r="T24" t="s">
        <v>34</v>
      </c>
      <c r="U24">
        <v>10</v>
      </c>
      <c r="V24">
        <v>15</v>
      </c>
      <c r="W24" t="s">
        <v>69</v>
      </c>
    </row>
    <row r="25" spans="1:23" x14ac:dyDescent="0.25">
      <c r="A25" t="s">
        <v>122</v>
      </c>
      <c r="B25" t="s">
        <v>24</v>
      </c>
      <c r="C25" t="s">
        <v>123</v>
      </c>
      <c r="D25" t="s">
        <v>72</v>
      </c>
      <c r="E25" t="s">
        <v>27</v>
      </c>
      <c r="F25" t="s">
        <v>55</v>
      </c>
      <c r="G25" t="s">
        <v>103</v>
      </c>
      <c r="L25" t="s">
        <v>104</v>
      </c>
      <c r="M25">
        <v>8849</v>
      </c>
      <c r="N25" t="s">
        <v>32</v>
      </c>
      <c r="O25" t="s">
        <v>32</v>
      </c>
      <c r="P25">
        <v>45538</v>
      </c>
      <c r="Q25">
        <v>45581</v>
      </c>
      <c r="T25" t="s">
        <v>90</v>
      </c>
      <c r="U25">
        <v>43</v>
      </c>
      <c r="V25">
        <v>0</v>
      </c>
    </row>
    <row r="26" spans="1:23" x14ac:dyDescent="0.25">
      <c r="A26" t="s">
        <v>124</v>
      </c>
      <c r="B26" t="s">
        <v>24</v>
      </c>
      <c r="C26" t="s">
        <v>77</v>
      </c>
      <c r="D26" t="s">
        <v>26</v>
      </c>
      <c r="E26" t="s">
        <v>27</v>
      </c>
      <c r="F26" t="s">
        <v>28</v>
      </c>
      <c r="G26" t="s">
        <v>78</v>
      </c>
      <c r="H26" t="s">
        <v>125</v>
      </c>
      <c r="I26" t="s">
        <v>108</v>
      </c>
      <c r="J26" t="s">
        <v>30</v>
      </c>
      <c r="L26" t="s">
        <v>126</v>
      </c>
      <c r="M26">
        <v>10987</v>
      </c>
      <c r="N26" t="s">
        <v>32</v>
      </c>
      <c r="O26" t="s">
        <v>32</v>
      </c>
      <c r="P26">
        <v>45544</v>
      </c>
      <c r="Q26">
        <v>45552</v>
      </c>
      <c r="R26">
        <v>45556</v>
      </c>
      <c r="S26" t="s">
        <v>92</v>
      </c>
      <c r="T26" t="s">
        <v>34</v>
      </c>
      <c r="U26">
        <v>8</v>
      </c>
      <c r="V26">
        <v>12</v>
      </c>
      <c r="W26" t="s">
        <v>69</v>
      </c>
    </row>
    <row r="27" spans="1:23" x14ac:dyDescent="0.25">
      <c r="A27" t="s">
        <v>64</v>
      </c>
      <c r="B27" t="s">
        <v>65</v>
      </c>
      <c r="E27" t="s">
        <v>64</v>
      </c>
      <c r="F27" t="s">
        <v>28</v>
      </c>
      <c r="G27" t="s">
        <v>45</v>
      </c>
      <c r="H27" t="s">
        <v>46</v>
      </c>
      <c r="I27" t="s">
        <v>60</v>
      </c>
      <c r="J27" t="s">
        <v>30</v>
      </c>
      <c r="L27" t="s">
        <v>127</v>
      </c>
      <c r="M27">
        <v>9208</v>
      </c>
      <c r="N27" t="s">
        <v>128</v>
      </c>
      <c r="O27" t="s">
        <v>41</v>
      </c>
      <c r="P27">
        <v>45536</v>
      </c>
      <c r="Q27">
        <v>45554</v>
      </c>
      <c r="R27">
        <v>45556</v>
      </c>
      <c r="S27" t="s">
        <v>92</v>
      </c>
      <c r="T27" t="s">
        <v>34</v>
      </c>
      <c r="U27">
        <v>18</v>
      </c>
      <c r="V27">
        <v>20</v>
      </c>
      <c r="W27" t="s">
        <v>69</v>
      </c>
    </row>
    <row r="28" spans="1:23" x14ac:dyDescent="0.25">
      <c r="A28" t="s">
        <v>64</v>
      </c>
      <c r="B28" t="s">
        <v>65</v>
      </c>
      <c r="E28" t="s">
        <v>64</v>
      </c>
      <c r="F28" t="s">
        <v>28</v>
      </c>
      <c r="G28" t="s">
        <v>45</v>
      </c>
      <c r="H28" t="s">
        <v>46</v>
      </c>
      <c r="I28" t="s">
        <v>60</v>
      </c>
      <c r="J28" t="s">
        <v>38</v>
      </c>
      <c r="L28" t="s">
        <v>129</v>
      </c>
      <c r="M28">
        <v>9208</v>
      </c>
      <c r="N28" t="s">
        <v>130</v>
      </c>
      <c r="O28" t="s">
        <v>41</v>
      </c>
      <c r="P28">
        <v>45536</v>
      </c>
      <c r="Q28">
        <v>45554</v>
      </c>
      <c r="R28">
        <v>45556</v>
      </c>
      <c r="S28" t="s">
        <v>92</v>
      </c>
      <c r="T28" t="s">
        <v>34</v>
      </c>
      <c r="U28">
        <v>18</v>
      </c>
      <c r="V28">
        <v>20</v>
      </c>
      <c r="W28" t="s">
        <v>69</v>
      </c>
    </row>
    <row r="29" spans="1:23" x14ac:dyDescent="0.25">
      <c r="A29" t="s">
        <v>131</v>
      </c>
      <c r="B29" t="s">
        <v>65</v>
      </c>
      <c r="C29" t="s">
        <v>132</v>
      </c>
      <c r="D29" t="s">
        <v>133</v>
      </c>
      <c r="E29" t="s">
        <v>107</v>
      </c>
      <c r="F29" t="s">
        <v>28</v>
      </c>
      <c r="G29" t="s">
        <v>78</v>
      </c>
      <c r="H29" t="s">
        <v>116</v>
      </c>
      <c r="I29" t="s">
        <v>108</v>
      </c>
      <c r="J29" t="s">
        <v>30</v>
      </c>
      <c r="L29" t="s">
        <v>134</v>
      </c>
      <c r="M29">
        <v>4020</v>
      </c>
      <c r="N29" t="s">
        <v>135</v>
      </c>
      <c r="O29" t="s">
        <v>135</v>
      </c>
      <c r="P29">
        <v>45547</v>
      </c>
      <c r="Q29">
        <v>45556</v>
      </c>
      <c r="R29">
        <v>45557</v>
      </c>
      <c r="S29" t="s">
        <v>92</v>
      </c>
      <c r="T29" t="s">
        <v>34</v>
      </c>
      <c r="U29">
        <v>9</v>
      </c>
      <c r="V29">
        <v>10</v>
      </c>
      <c r="W29" t="s">
        <v>69</v>
      </c>
    </row>
    <row r="30" spans="1:23" x14ac:dyDescent="0.25">
      <c r="A30" t="s">
        <v>131</v>
      </c>
      <c r="B30" t="s">
        <v>65</v>
      </c>
      <c r="C30" t="s">
        <v>132</v>
      </c>
      <c r="D30" t="s">
        <v>133</v>
      </c>
      <c r="E30" t="s">
        <v>107</v>
      </c>
      <c r="F30" t="s">
        <v>28</v>
      </c>
      <c r="G30" t="s">
        <v>78</v>
      </c>
      <c r="H30" t="s">
        <v>116</v>
      </c>
      <c r="I30" t="s">
        <v>108</v>
      </c>
      <c r="J30" t="s">
        <v>30</v>
      </c>
      <c r="L30" t="s">
        <v>134</v>
      </c>
      <c r="M30">
        <v>4020</v>
      </c>
      <c r="N30" t="s">
        <v>135</v>
      </c>
      <c r="O30" t="s">
        <v>135</v>
      </c>
      <c r="P30">
        <v>45547</v>
      </c>
      <c r="Q30">
        <v>45556</v>
      </c>
      <c r="R30">
        <v>45557</v>
      </c>
      <c r="S30" t="s">
        <v>92</v>
      </c>
      <c r="T30" t="s">
        <v>34</v>
      </c>
      <c r="U30">
        <v>9</v>
      </c>
      <c r="V30">
        <v>10</v>
      </c>
      <c r="W30" t="s">
        <v>69</v>
      </c>
    </row>
    <row r="31" spans="1:23" x14ac:dyDescent="0.25">
      <c r="A31" t="s">
        <v>131</v>
      </c>
      <c r="B31" t="s">
        <v>65</v>
      </c>
      <c r="C31" t="s">
        <v>132</v>
      </c>
      <c r="D31" t="s">
        <v>133</v>
      </c>
      <c r="E31" t="s">
        <v>107</v>
      </c>
      <c r="F31" t="s">
        <v>28</v>
      </c>
      <c r="G31" t="s">
        <v>78</v>
      </c>
      <c r="H31" t="s">
        <v>136</v>
      </c>
      <c r="I31" t="s">
        <v>108</v>
      </c>
      <c r="J31" t="s">
        <v>38</v>
      </c>
      <c r="L31" t="s">
        <v>137</v>
      </c>
      <c r="M31">
        <v>4020</v>
      </c>
      <c r="N31" t="s">
        <v>32</v>
      </c>
      <c r="O31" t="s">
        <v>32</v>
      </c>
      <c r="P31">
        <v>45547</v>
      </c>
      <c r="Q31">
        <v>45556</v>
      </c>
      <c r="R31">
        <v>45557</v>
      </c>
      <c r="S31" t="s">
        <v>92</v>
      </c>
      <c r="T31" t="s">
        <v>34</v>
      </c>
      <c r="U31">
        <v>9</v>
      </c>
      <c r="V31">
        <v>10</v>
      </c>
      <c r="W31" t="s">
        <v>69</v>
      </c>
    </row>
    <row r="32" spans="1:23" x14ac:dyDescent="0.25">
      <c r="A32" t="s">
        <v>131</v>
      </c>
      <c r="B32" t="s">
        <v>65</v>
      </c>
      <c r="C32" t="s">
        <v>132</v>
      </c>
      <c r="D32" t="s">
        <v>133</v>
      </c>
      <c r="E32" t="s">
        <v>107</v>
      </c>
      <c r="F32" t="s">
        <v>28</v>
      </c>
      <c r="G32" t="s">
        <v>78</v>
      </c>
      <c r="H32" t="s">
        <v>136</v>
      </c>
      <c r="I32" t="s">
        <v>108</v>
      </c>
      <c r="J32" t="s">
        <v>38</v>
      </c>
      <c r="L32" t="s">
        <v>137</v>
      </c>
      <c r="M32">
        <v>4020</v>
      </c>
      <c r="N32" t="s">
        <v>32</v>
      </c>
      <c r="O32" t="s">
        <v>32</v>
      </c>
      <c r="P32">
        <v>45547</v>
      </c>
      <c r="Q32">
        <v>45556</v>
      </c>
      <c r="R32">
        <v>45557</v>
      </c>
      <c r="S32" t="s">
        <v>92</v>
      </c>
      <c r="T32" t="s">
        <v>34</v>
      </c>
      <c r="U32">
        <v>9</v>
      </c>
      <c r="V32">
        <v>10</v>
      </c>
      <c r="W32" t="s">
        <v>69</v>
      </c>
    </row>
    <row r="33" spans="1:23" x14ac:dyDescent="0.25">
      <c r="A33" t="s">
        <v>138</v>
      </c>
      <c r="B33" t="s">
        <v>24</v>
      </c>
      <c r="C33" t="s">
        <v>139</v>
      </c>
      <c r="D33" t="s">
        <v>37</v>
      </c>
      <c r="E33" t="s">
        <v>27</v>
      </c>
      <c r="F33" t="s">
        <v>55</v>
      </c>
      <c r="G33" t="s">
        <v>140</v>
      </c>
      <c r="L33" t="s">
        <v>141</v>
      </c>
      <c r="M33">
        <v>8349</v>
      </c>
      <c r="N33" t="s">
        <v>32</v>
      </c>
      <c r="O33" t="s">
        <v>32</v>
      </c>
      <c r="P33">
        <v>45549</v>
      </c>
      <c r="Q33">
        <v>45557</v>
      </c>
      <c r="R33">
        <v>45559</v>
      </c>
      <c r="S33" t="s">
        <v>33</v>
      </c>
      <c r="T33" t="s">
        <v>34</v>
      </c>
      <c r="U33">
        <v>8</v>
      </c>
      <c r="V33">
        <v>10</v>
      </c>
      <c r="W33" t="s">
        <v>69</v>
      </c>
    </row>
    <row r="34" spans="1:23" x14ac:dyDescent="0.25">
      <c r="A34" t="s">
        <v>142</v>
      </c>
      <c r="B34" t="s">
        <v>24</v>
      </c>
      <c r="C34" t="s">
        <v>143</v>
      </c>
      <c r="D34" t="s">
        <v>72</v>
      </c>
      <c r="E34" t="s">
        <v>27</v>
      </c>
      <c r="F34" t="s">
        <v>55</v>
      </c>
      <c r="G34" t="s">
        <v>103</v>
      </c>
      <c r="L34" t="s">
        <v>104</v>
      </c>
      <c r="M34">
        <v>7849</v>
      </c>
      <c r="N34" t="s">
        <v>144</v>
      </c>
      <c r="O34" t="s">
        <v>41</v>
      </c>
      <c r="P34">
        <v>45547</v>
      </c>
      <c r="Q34">
        <v>45561</v>
      </c>
      <c r="S34" t="s">
        <v>33</v>
      </c>
      <c r="T34" t="s">
        <v>34</v>
      </c>
      <c r="U34">
        <v>14</v>
      </c>
      <c r="V34">
        <v>0</v>
      </c>
    </row>
    <row r="35" spans="1:23" x14ac:dyDescent="0.25">
      <c r="A35" t="s">
        <v>145</v>
      </c>
      <c r="B35" t="s">
        <v>24</v>
      </c>
      <c r="C35" t="s">
        <v>146</v>
      </c>
      <c r="D35" t="s">
        <v>26</v>
      </c>
      <c r="E35" t="s">
        <v>73</v>
      </c>
      <c r="F35" t="s">
        <v>28</v>
      </c>
      <c r="G35" t="s">
        <v>147</v>
      </c>
      <c r="H35" t="s">
        <v>46</v>
      </c>
      <c r="I35" t="s">
        <v>60</v>
      </c>
      <c r="J35" t="s">
        <v>38</v>
      </c>
      <c r="L35" t="s">
        <v>148</v>
      </c>
      <c r="M35">
        <v>9450</v>
      </c>
      <c r="N35" t="s">
        <v>149</v>
      </c>
      <c r="O35" t="s">
        <v>41</v>
      </c>
      <c r="P35">
        <v>45547</v>
      </c>
      <c r="Q35">
        <v>45561</v>
      </c>
      <c r="T35" t="s">
        <v>90</v>
      </c>
      <c r="U35">
        <v>14</v>
      </c>
      <c r="V35">
        <v>0</v>
      </c>
    </row>
    <row r="36" spans="1:23" x14ac:dyDescent="0.25">
      <c r="A36" t="s">
        <v>150</v>
      </c>
      <c r="B36" t="s">
        <v>24</v>
      </c>
      <c r="C36" t="s">
        <v>115</v>
      </c>
      <c r="D36" t="s">
        <v>72</v>
      </c>
      <c r="E36" t="s">
        <v>27</v>
      </c>
      <c r="F36" t="s">
        <v>28</v>
      </c>
      <c r="G36" t="s">
        <v>78</v>
      </c>
      <c r="H36" t="s">
        <v>125</v>
      </c>
      <c r="I36" t="s">
        <v>108</v>
      </c>
      <c r="J36" t="s">
        <v>38</v>
      </c>
      <c r="L36" t="s">
        <v>151</v>
      </c>
      <c r="M36">
        <v>7460</v>
      </c>
      <c r="N36" t="s">
        <v>32</v>
      </c>
      <c r="O36" t="s">
        <v>32</v>
      </c>
      <c r="P36">
        <v>45548</v>
      </c>
      <c r="Q36">
        <v>45561</v>
      </c>
      <c r="R36">
        <v>45568</v>
      </c>
      <c r="S36" t="s">
        <v>92</v>
      </c>
      <c r="T36" t="s">
        <v>34</v>
      </c>
      <c r="U36">
        <v>13</v>
      </c>
      <c r="V36">
        <v>20</v>
      </c>
      <c r="W36" t="s">
        <v>69</v>
      </c>
    </row>
    <row r="37" spans="1:23" x14ac:dyDescent="0.25">
      <c r="A37" t="s">
        <v>152</v>
      </c>
      <c r="B37" t="s">
        <v>24</v>
      </c>
      <c r="C37" t="s">
        <v>77</v>
      </c>
      <c r="D37" t="s">
        <v>26</v>
      </c>
      <c r="E37" t="s">
        <v>27</v>
      </c>
      <c r="F37" t="s">
        <v>28</v>
      </c>
      <c r="G37" t="s">
        <v>45</v>
      </c>
      <c r="H37" t="s">
        <v>46</v>
      </c>
      <c r="I37" t="s">
        <v>108</v>
      </c>
      <c r="J37" t="s">
        <v>61</v>
      </c>
      <c r="L37" t="s">
        <v>153</v>
      </c>
      <c r="M37">
        <v>12999</v>
      </c>
      <c r="N37" t="s">
        <v>32</v>
      </c>
      <c r="O37" t="s">
        <v>32</v>
      </c>
      <c r="P37">
        <v>45549</v>
      </c>
      <c r="Q37">
        <v>45562</v>
      </c>
      <c r="R37">
        <v>45567</v>
      </c>
      <c r="S37" t="s">
        <v>92</v>
      </c>
      <c r="T37" t="s">
        <v>34</v>
      </c>
      <c r="U37">
        <v>13</v>
      </c>
      <c r="V37">
        <v>18</v>
      </c>
      <c r="W37" t="s">
        <v>69</v>
      </c>
    </row>
    <row r="38" spans="1:23" x14ac:dyDescent="0.25">
      <c r="A38" t="s">
        <v>154</v>
      </c>
      <c r="B38" t="s">
        <v>24</v>
      </c>
      <c r="C38" t="s">
        <v>155</v>
      </c>
      <c r="D38" t="s">
        <v>72</v>
      </c>
      <c r="E38" t="s">
        <v>27</v>
      </c>
      <c r="F38" t="s">
        <v>28</v>
      </c>
      <c r="G38" t="s">
        <v>45</v>
      </c>
      <c r="H38" t="s">
        <v>59</v>
      </c>
      <c r="I38" t="s">
        <v>47</v>
      </c>
      <c r="J38" t="s">
        <v>38</v>
      </c>
      <c r="L38" t="s">
        <v>156</v>
      </c>
      <c r="M38">
        <v>5999</v>
      </c>
      <c r="N38" t="s">
        <v>32</v>
      </c>
      <c r="O38" t="s">
        <v>32</v>
      </c>
      <c r="P38">
        <v>45547</v>
      </c>
      <c r="Q38">
        <v>45564</v>
      </c>
      <c r="T38" t="s">
        <v>90</v>
      </c>
      <c r="U38">
        <v>17</v>
      </c>
      <c r="V38">
        <v>0</v>
      </c>
    </row>
    <row r="39" spans="1:23" x14ac:dyDescent="0.25">
      <c r="A39" t="s">
        <v>157</v>
      </c>
      <c r="B39" t="s">
        <v>24</v>
      </c>
      <c r="C39" t="s">
        <v>158</v>
      </c>
      <c r="D39" t="s">
        <v>26</v>
      </c>
      <c r="E39" t="s">
        <v>27</v>
      </c>
      <c r="F39" t="s">
        <v>28</v>
      </c>
      <c r="G39" t="s">
        <v>45</v>
      </c>
      <c r="H39" t="s">
        <v>46</v>
      </c>
      <c r="I39" t="s">
        <v>60</v>
      </c>
      <c r="J39" t="s">
        <v>38</v>
      </c>
      <c r="L39" t="s">
        <v>159</v>
      </c>
      <c r="M39">
        <v>11949</v>
      </c>
      <c r="N39" t="s">
        <v>160</v>
      </c>
      <c r="O39" t="s">
        <v>41</v>
      </c>
      <c r="P39">
        <v>45547</v>
      </c>
      <c r="Q39">
        <v>45564</v>
      </c>
      <c r="R39">
        <v>45567</v>
      </c>
      <c r="S39" t="s">
        <v>92</v>
      </c>
      <c r="T39" t="s">
        <v>34</v>
      </c>
      <c r="U39">
        <v>17</v>
      </c>
      <c r="V39">
        <v>20</v>
      </c>
      <c r="W39" t="s">
        <v>69</v>
      </c>
    </row>
    <row r="40" spans="1:23" x14ac:dyDescent="0.25">
      <c r="A40" t="s">
        <v>157</v>
      </c>
      <c r="B40" t="s">
        <v>24</v>
      </c>
      <c r="C40" t="s">
        <v>158</v>
      </c>
      <c r="D40" t="s">
        <v>26</v>
      </c>
      <c r="E40" t="s">
        <v>27</v>
      </c>
      <c r="F40" t="s">
        <v>28</v>
      </c>
      <c r="G40" t="s">
        <v>45</v>
      </c>
      <c r="H40" t="s">
        <v>46</v>
      </c>
      <c r="I40" t="s">
        <v>60</v>
      </c>
      <c r="J40" t="s">
        <v>38</v>
      </c>
      <c r="L40" t="s">
        <v>159</v>
      </c>
      <c r="M40">
        <v>11949</v>
      </c>
      <c r="N40" t="s">
        <v>160</v>
      </c>
      <c r="O40" t="s">
        <v>41</v>
      </c>
      <c r="P40">
        <v>45547</v>
      </c>
      <c r="Q40">
        <v>45564</v>
      </c>
      <c r="R40">
        <v>45567</v>
      </c>
      <c r="S40" t="s">
        <v>92</v>
      </c>
      <c r="T40" t="s">
        <v>34</v>
      </c>
      <c r="U40">
        <v>17</v>
      </c>
      <c r="V40">
        <v>20</v>
      </c>
      <c r="W40" t="s">
        <v>69</v>
      </c>
    </row>
    <row r="41" spans="1:23" x14ac:dyDescent="0.25">
      <c r="A41" t="s">
        <v>70</v>
      </c>
      <c r="B41" t="s">
        <v>24</v>
      </c>
      <c r="C41" t="s">
        <v>161</v>
      </c>
      <c r="D41" t="s">
        <v>72</v>
      </c>
      <c r="E41" t="s">
        <v>27</v>
      </c>
      <c r="F41" t="s">
        <v>28</v>
      </c>
      <c r="G41" t="s">
        <v>147</v>
      </c>
      <c r="H41" t="s">
        <v>46</v>
      </c>
      <c r="I41" t="s">
        <v>95</v>
      </c>
      <c r="J41" t="s">
        <v>30</v>
      </c>
      <c r="L41" t="s">
        <v>162</v>
      </c>
      <c r="M41">
        <v>16599</v>
      </c>
      <c r="N41" t="s">
        <v>32</v>
      </c>
      <c r="O41" t="s">
        <v>32</v>
      </c>
      <c r="P41">
        <v>45548</v>
      </c>
      <c r="Q41">
        <v>45565</v>
      </c>
      <c r="R41">
        <v>45568</v>
      </c>
      <c r="S41" t="s">
        <v>92</v>
      </c>
      <c r="T41" t="s">
        <v>34</v>
      </c>
      <c r="U41">
        <v>17</v>
      </c>
      <c r="V41">
        <v>20</v>
      </c>
      <c r="W41" t="s">
        <v>69</v>
      </c>
    </row>
    <row r="42" spans="1:23" x14ac:dyDescent="0.25">
      <c r="A42" t="s">
        <v>163</v>
      </c>
      <c r="B42" t="s">
        <v>24</v>
      </c>
      <c r="C42" t="s">
        <v>53</v>
      </c>
      <c r="D42" t="s">
        <v>54</v>
      </c>
      <c r="E42" t="s">
        <v>27</v>
      </c>
      <c r="F42" t="s">
        <v>28</v>
      </c>
      <c r="G42" t="s">
        <v>45</v>
      </c>
      <c r="H42" t="s">
        <v>46</v>
      </c>
      <c r="I42" t="s">
        <v>95</v>
      </c>
      <c r="J42" t="s">
        <v>30</v>
      </c>
      <c r="L42" t="s">
        <v>164</v>
      </c>
      <c r="M42">
        <v>10999</v>
      </c>
      <c r="N42" t="s">
        <v>32</v>
      </c>
      <c r="O42" t="s">
        <v>32</v>
      </c>
      <c r="P42">
        <v>45548</v>
      </c>
      <c r="Q42">
        <v>45565</v>
      </c>
      <c r="R42">
        <v>45581</v>
      </c>
      <c r="S42" t="s">
        <v>33</v>
      </c>
      <c r="T42" t="s">
        <v>34</v>
      </c>
      <c r="U42">
        <v>17</v>
      </c>
      <c r="V42">
        <v>33</v>
      </c>
      <c r="W42" t="s">
        <v>69</v>
      </c>
    </row>
    <row r="43" spans="1:23" x14ac:dyDescent="0.25">
      <c r="A43" t="s">
        <v>165</v>
      </c>
      <c r="B43" t="s">
        <v>24</v>
      </c>
      <c r="C43" t="s">
        <v>166</v>
      </c>
      <c r="D43" t="s">
        <v>167</v>
      </c>
      <c r="E43" t="s">
        <v>27</v>
      </c>
      <c r="F43" t="s">
        <v>28</v>
      </c>
      <c r="G43" t="s">
        <v>45</v>
      </c>
      <c r="H43" t="s">
        <v>46</v>
      </c>
      <c r="I43" t="s">
        <v>168</v>
      </c>
      <c r="J43" t="s">
        <v>48</v>
      </c>
      <c r="L43" t="s">
        <v>169</v>
      </c>
      <c r="M43">
        <v>13099</v>
      </c>
      <c r="N43" t="s">
        <v>32</v>
      </c>
      <c r="O43" t="s">
        <v>32</v>
      </c>
      <c r="P43">
        <v>45548</v>
      </c>
      <c r="Q43">
        <v>45565</v>
      </c>
      <c r="R43">
        <v>45568</v>
      </c>
      <c r="S43" t="s">
        <v>33</v>
      </c>
      <c r="T43" t="s">
        <v>34</v>
      </c>
      <c r="U43">
        <v>17</v>
      </c>
      <c r="V43">
        <v>20</v>
      </c>
      <c r="W43" t="s">
        <v>69</v>
      </c>
    </row>
    <row r="44" spans="1:23" x14ac:dyDescent="0.25">
      <c r="A44" t="s">
        <v>170</v>
      </c>
      <c r="B44" t="s">
        <v>24</v>
      </c>
      <c r="C44" t="s">
        <v>77</v>
      </c>
      <c r="D44" t="s">
        <v>26</v>
      </c>
      <c r="E44" t="s">
        <v>27</v>
      </c>
      <c r="F44" t="s">
        <v>28</v>
      </c>
      <c r="G44" t="s">
        <v>45</v>
      </c>
      <c r="H44" t="s">
        <v>171</v>
      </c>
      <c r="I44" t="s">
        <v>108</v>
      </c>
      <c r="J44" t="s">
        <v>172</v>
      </c>
      <c r="L44" t="s">
        <v>173</v>
      </c>
      <c r="M44">
        <v>13849</v>
      </c>
      <c r="N44" t="s">
        <v>32</v>
      </c>
      <c r="O44" t="s">
        <v>32</v>
      </c>
      <c r="P44">
        <v>45548</v>
      </c>
      <c r="Q44">
        <v>45565</v>
      </c>
      <c r="R44">
        <v>45585</v>
      </c>
      <c r="S44" t="s">
        <v>92</v>
      </c>
      <c r="T44" t="s">
        <v>34</v>
      </c>
      <c r="U44">
        <v>17</v>
      </c>
      <c r="V44">
        <v>37</v>
      </c>
      <c r="W44" t="s">
        <v>69</v>
      </c>
    </row>
    <row r="45" spans="1:23" x14ac:dyDescent="0.25">
      <c r="A45" t="s">
        <v>174</v>
      </c>
      <c r="B45" t="s">
        <v>24</v>
      </c>
      <c r="C45" t="s">
        <v>77</v>
      </c>
      <c r="D45" t="s">
        <v>26</v>
      </c>
      <c r="E45" t="s">
        <v>27</v>
      </c>
      <c r="F45" t="s">
        <v>28</v>
      </c>
      <c r="G45" t="s">
        <v>45</v>
      </c>
      <c r="H45" t="s">
        <v>46</v>
      </c>
      <c r="I45" t="s">
        <v>95</v>
      </c>
      <c r="J45" t="s">
        <v>30</v>
      </c>
      <c r="L45" t="s">
        <v>164</v>
      </c>
      <c r="M45">
        <v>10999</v>
      </c>
      <c r="N45" t="s">
        <v>32</v>
      </c>
      <c r="O45" t="s">
        <v>32</v>
      </c>
      <c r="P45">
        <v>45548</v>
      </c>
      <c r="Q45">
        <v>45565</v>
      </c>
      <c r="R45">
        <v>45580</v>
      </c>
      <c r="S45" t="s">
        <v>92</v>
      </c>
      <c r="T45" t="s">
        <v>34</v>
      </c>
      <c r="U45">
        <v>17</v>
      </c>
      <c r="V45">
        <v>32</v>
      </c>
      <c r="W45" t="s">
        <v>69</v>
      </c>
    </row>
    <row r="46" spans="1:23" x14ac:dyDescent="0.25">
      <c r="A46" t="s">
        <v>175</v>
      </c>
      <c r="B46" t="s">
        <v>24</v>
      </c>
      <c r="C46" t="s">
        <v>123</v>
      </c>
      <c r="D46" t="s">
        <v>72</v>
      </c>
      <c r="E46" t="s">
        <v>27</v>
      </c>
      <c r="F46" t="s">
        <v>28</v>
      </c>
      <c r="G46" t="s">
        <v>147</v>
      </c>
      <c r="H46" t="s">
        <v>46</v>
      </c>
      <c r="I46" t="s">
        <v>47</v>
      </c>
      <c r="J46" t="s">
        <v>38</v>
      </c>
      <c r="L46" t="s">
        <v>176</v>
      </c>
      <c r="M46">
        <v>17249</v>
      </c>
      <c r="N46" t="s">
        <v>32</v>
      </c>
      <c r="O46" t="s">
        <v>32</v>
      </c>
      <c r="P46">
        <v>45548</v>
      </c>
      <c r="Q46">
        <v>45565</v>
      </c>
      <c r="R46">
        <v>45569</v>
      </c>
      <c r="S46" t="s">
        <v>92</v>
      </c>
      <c r="T46" t="s">
        <v>34</v>
      </c>
      <c r="U46">
        <v>17</v>
      </c>
      <c r="V46">
        <v>21</v>
      </c>
      <c r="W46" t="s">
        <v>69</v>
      </c>
    </row>
    <row r="47" spans="1:23" x14ac:dyDescent="0.25">
      <c r="A47" t="s">
        <v>177</v>
      </c>
      <c r="B47" t="s">
        <v>24</v>
      </c>
      <c r="C47" t="s">
        <v>178</v>
      </c>
      <c r="D47" t="s">
        <v>26</v>
      </c>
      <c r="E47" t="s">
        <v>27</v>
      </c>
      <c r="F47" t="s">
        <v>55</v>
      </c>
      <c r="G47" t="s">
        <v>103</v>
      </c>
      <c r="L47" t="s">
        <v>179</v>
      </c>
      <c r="M47">
        <v>8349</v>
      </c>
      <c r="N47" t="s">
        <v>32</v>
      </c>
      <c r="O47" t="s">
        <v>32</v>
      </c>
      <c r="P47">
        <v>45549</v>
      </c>
      <c r="Q47">
        <v>45581</v>
      </c>
      <c r="R47">
        <v>45586</v>
      </c>
      <c r="S47" t="s">
        <v>92</v>
      </c>
      <c r="T47" t="s">
        <v>34</v>
      </c>
      <c r="U47">
        <v>32</v>
      </c>
      <c r="V47">
        <v>37</v>
      </c>
      <c r="W47" t="s">
        <v>69</v>
      </c>
    </row>
    <row r="48" spans="1:23" x14ac:dyDescent="0.25">
      <c r="A48" t="s">
        <v>180</v>
      </c>
      <c r="B48" t="s">
        <v>24</v>
      </c>
      <c r="C48" t="s">
        <v>102</v>
      </c>
      <c r="D48" t="s">
        <v>72</v>
      </c>
      <c r="E48" t="s">
        <v>27</v>
      </c>
      <c r="F48" t="s">
        <v>55</v>
      </c>
      <c r="G48" t="s">
        <v>181</v>
      </c>
      <c r="L48" t="s">
        <v>56</v>
      </c>
      <c r="M48">
        <v>7849</v>
      </c>
      <c r="N48" t="s">
        <v>32</v>
      </c>
      <c r="O48" t="s">
        <v>32</v>
      </c>
      <c r="P48">
        <v>45549</v>
      </c>
      <c r="Q48">
        <v>45594</v>
      </c>
      <c r="R48">
        <v>45595</v>
      </c>
      <c r="S48" t="s">
        <v>92</v>
      </c>
      <c r="T48" t="s">
        <v>34</v>
      </c>
      <c r="U48">
        <v>45</v>
      </c>
      <c r="V48">
        <v>46</v>
      </c>
      <c r="W48" t="s">
        <v>69</v>
      </c>
    </row>
    <row r="49" spans="1:23" x14ac:dyDescent="0.25">
      <c r="A49" t="s">
        <v>182</v>
      </c>
      <c r="B49" t="s">
        <v>24</v>
      </c>
      <c r="C49" t="s">
        <v>183</v>
      </c>
      <c r="D49" t="s">
        <v>26</v>
      </c>
      <c r="E49" t="s">
        <v>27</v>
      </c>
      <c r="F49" t="s">
        <v>28</v>
      </c>
      <c r="G49" t="s">
        <v>78</v>
      </c>
      <c r="H49" t="s">
        <v>125</v>
      </c>
      <c r="I49" t="s">
        <v>168</v>
      </c>
      <c r="J49" t="s">
        <v>38</v>
      </c>
      <c r="L49" t="s">
        <v>184</v>
      </c>
      <c r="M49">
        <v>11817</v>
      </c>
      <c r="N49" t="s">
        <v>32</v>
      </c>
      <c r="O49" t="s">
        <v>32</v>
      </c>
      <c r="P49">
        <v>45549</v>
      </c>
      <c r="Q49">
        <v>45594</v>
      </c>
      <c r="R49">
        <v>45580</v>
      </c>
      <c r="S49" t="s">
        <v>92</v>
      </c>
      <c r="T49" t="s">
        <v>34</v>
      </c>
      <c r="U49">
        <v>45</v>
      </c>
      <c r="V49">
        <v>31</v>
      </c>
      <c r="W49" t="s">
        <v>57</v>
      </c>
    </row>
    <row r="50" spans="1:23" x14ac:dyDescent="0.25">
      <c r="A50" t="s">
        <v>185</v>
      </c>
      <c r="B50" t="s">
        <v>24</v>
      </c>
      <c r="C50" t="s">
        <v>161</v>
      </c>
      <c r="D50" t="s">
        <v>72</v>
      </c>
      <c r="E50" t="s">
        <v>27</v>
      </c>
      <c r="F50" t="s">
        <v>55</v>
      </c>
      <c r="G50" t="s">
        <v>140</v>
      </c>
      <c r="L50" t="s">
        <v>186</v>
      </c>
      <c r="M50">
        <v>8349</v>
      </c>
      <c r="N50" t="s">
        <v>32</v>
      </c>
      <c r="O50" t="s">
        <v>32</v>
      </c>
      <c r="P50">
        <v>45549</v>
      </c>
      <c r="Q50">
        <v>45594</v>
      </c>
      <c r="R50">
        <v>45584</v>
      </c>
      <c r="S50" t="s">
        <v>92</v>
      </c>
      <c r="T50" t="s">
        <v>34</v>
      </c>
      <c r="U50">
        <v>45</v>
      </c>
      <c r="V50">
        <v>35</v>
      </c>
      <c r="W50" t="s">
        <v>57</v>
      </c>
    </row>
    <row r="51" spans="1:23" x14ac:dyDescent="0.25">
      <c r="A51" t="s">
        <v>187</v>
      </c>
      <c r="B51" t="s">
        <v>24</v>
      </c>
      <c r="C51" t="s">
        <v>188</v>
      </c>
      <c r="D51" t="s">
        <v>72</v>
      </c>
      <c r="E51" t="s">
        <v>27</v>
      </c>
      <c r="F51" t="s">
        <v>28</v>
      </c>
      <c r="G51" t="s">
        <v>78</v>
      </c>
      <c r="H51" t="s">
        <v>116</v>
      </c>
      <c r="I51" t="s">
        <v>108</v>
      </c>
      <c r="J51" t="s">
        <v>30</v>
      </c>
      <c r="L51" t="s">
        <v>189</v>
      </c>
      <c r="M51">
        <v>17886</v>
      </c>
      <c r="N51" t="s">
        <v>32</v>
      </c>
      <c r="O51" t="s">
        <v>32</v>
      </c>
      <c r="P51">
        <v>45549</v>
      </c>
      <c r="Q51">
        <v>45594</v>
      </c>
      <c r="T51" t="s">
        <v>90</v>
      </c>
      <c r="U51">
        <v>45</v>
      </c>
      <c r="V51">
        <v>0</v>
      </c>
    </row>
    <row r="52" spans="1:23" x14ac:dyDescent="0.25">
      <c r="A52" t="s">
        <v>187</v>
      </c>
      <c r="B52" t="s">
        <v>24</v>
      </c>
      <c r="C52" t="s">
        <v>188</v>
      </c>
      <c r="D52" t="s">
        <v>72</v>
      </c>
      <c r="E52" t="s">
        <v>27</v>
      </c>
      <c r="F52" t="s">
        <v>28</v>
      </c>
      <c r="G52" t="s">
        <v>78</v>
      </c>
      <c r="H52" t="s">
        <v>116</v>
      </c>
      <c r="I52" t="s">
        <v>108</v>
      </c>
      <c r="J52" t="s">
        <v>30</v>
      </c>
      <c r="L52" t="s">
        <v>189</v>
      </c>
      <c r="M52">
        <v>17886</v>
      </c>
      <c r="N52" t="s">
        <v>32</v>
      </c>
      <c r="O52" t="s">
        <v>32</v>
      </c>
      <c r="P52">
        <v>45549</v>
      </c>
      <c r="Q52">
        <v>45594</v>
      </c>
      <c r="T52" t="s">
        <v>90</v>
      </c>
      <c r="U52">
        <v>45</v>
      </c>
      <c r="V52">
        <v>0</v>
      </c>
    </row>
    <row r="53" spans="1:23" x14ac:dyDescent="0.25">
      <c r="A53" t="s">
        <v>190</v>
      </c>
      <c r="B53" t="s">
        <v>24</v>
      </c>
      <c r="C53" t="s">
        <v>115</v>
      </c>
      <c r="D53" t="s">
        <v>72</v>
      </c>
      <c r="E53" t="s">
        <v>27</v>
      </c>
      <c r="F53" t="s">
        <v>28</v>
      </c>
      <c r="G53" t="s">
        <v>78</v>
      </c>
      <c r="H53" t="s">
        <v>125</v>
      </c>
      <c r="I53" t="s">
        <v>108</v>
      </c>
      <c r="J53" t="s">
        <v>30</v>
      </c>
      <c r="L53" t="s">
        <v>191</v>
      </c>
      <c r="M53">
        <v>10987</v>
      </c>
      <c r="N53" t="s">
        <v>32</v>
      </c>
      <c r="O53" t="s">
        <v>32</v>
      </c>
      <c r="P53">
        <v>45549</v>
      </c>
      <c r="Q53">
        <v>45594</v>
      </c>
      <c r="R53">
        <v>45578</v>
      </c>
      <c r="S53" t="s">
        <v>92</v>
      </c>
      <c r="T53" t="s">
        <v>34</v>
      </c>
      <c r="U53">
        <v>45</v>
      </c>
      <c r="V53">
        <v>29</v>
      </c>
      <c r="W53" t="s">
        <v>57</v>
      </c>
    </row>
    <row r="54" spans="1:23" x14ac:dyDescent="0.25">
      <c r="A54" t="s">
        <v>190</v>
      </c>
      <c r="B54" t="s">
        <v>24</v>
      </c>
      <c r="C54" t="s">
        <v>115</v>
      </c>
      <c r="D54" t="s">
        <v>72</v>
      </c>
      <c r="E54" t="s">
        <v>27</v>
      </c>
      <c r="F54" t="s">
        <v>28</v>
      </c>
      <c r="G54" t="s">
        <v>78</v>
      </c>
      <c r="H54" t="s">
        <v>125</v>
      </c>
      <c r="I54" t="s">
        <v>108</v>
      </c>
      <c r="J54" t="s">
        <v>30</v>
      </c>
      <c r="L54" t="s">
        <v>191</v>
      </c>
      <c r="M54">
        <v>10987</v>
      </c>
      <c r="N54" t="s">
        <v>32</v>
      </c>
      <c r="O54" t="s">
        <v>32</v>
      </c>
      <c r="P54">
        <v>45549</v>
      </c>
      <c r="Q54">
        <v>45594</v>
      </c>
      <c r="R54">
        <v>45578</v>
      </c>
      <c r="S54" t="s">
        <v>92</v>
      </c>
      <c r="T54" t="s">
        <v>34</v>
      </c>
      <c r="U54">
        <v>45</v>
      </c>
      <c r="V54">
        <v>29</v>
      </c>
      <c r="W54" t="s">
        <v>57</v>
      </c>
    </row>
    <row r="55" spans="1:23" x14ac:dyDescent="0.25">
      <c r="A55" t="s">
        <v>192</v>
      </c>
      <c r="B55" t="s">
        <v>24</v>
      </c>
      <c r="C55" t="s">
        <v>193</v>
      </c>
      <c r="D55" t="s">
        <v>133</v>
      </c>
      <c r="E55" t="s">
        <v>27</v>
      </c>
      <c r="F55" t="s">
        <v>55</v>
      </c>
      <c r="G55" t="s">
        <v>103</v>
      </c>
      <c r="L55" t="s">
        <v>104</v>
      </c>
      <c r="M55">
        <v>10319</v>
      </c>
      <c r="N55" t="s">
        <v>32</v>
      </c>
      <c r="O55" t="s">
        <v>32</v>
      </c>
      <c r="P55">
        <v>45549</v>
      </c>
      <c r="Q55">
        <v>45594</v>
      </c>
      <c r="R55">
        <v>45584</v>
      </c>
      <c r="S55" t="s">
        <v>92</v>
      </c>
      <c r="T55" t="s">
        <v>34</v>
      </c>
      <c r="U55">
        <v>45</v>
      </c>
      <c r="V55">
        <v>35</v>
      </c>
      <c r="W55" t="s">
        <v>57</v>
      </c>
    </row>
    <row r="56" spans="1:23" x14ac:dyDescent="0.25">
      <c r="A56" t="s">
        <v>194</v>
      </c>
      <c r="B56" t="s">
        <v>24</v>
      </c>
      <c r="C56" t="s">
        <v>195</v>
      </c>
      <c r="D56" t="s">
        <v>196</v>
      </c>
      <c r="E56" t="s">
        <v>27</v>
      </c>
      <c r="F56" t="s">
        <v>28</v>
      </c>
      <c r="G56" t="s">
        <v>45</v>
      </c>
      <c r="H56" t="s">
        <v>46</v>
      </c>
      <c r="I56" t="s">
        <v>108</v>
      </c>
      <c r="J56" t="s">
        <v>61</v>
      </c>
      <c r="L56" t="s">
        <v>197</v>
      </c>
      <c r="M56">
        <v>12999</v>
      </c>
      <c r="N56" t="s">
        <v>32</v>
      </c>
      <c r="O56" t="s">
        <v>32</v>
      </c>
      <c r="P56">
        <v>45549</v>
      </c>
      <c r="Q56">
        <v>45616</v>
      </c>
      <c r="R56">
        <v>45582</v>
      </c>
      <c r="S56" t="s">
        <v>33</v>
      </c>
      <c r="T56" t="s">
        <v>34</v>
      </c>
      <c r="U56">
        <v>67</v>
      </c>
      <c r="V56">
        <v>33</v>
      </c>
      <c r="W56" t="s">
        <v>57</v>
      </c>
    </row>
    <row r="57" spans="1:23" x14ac:dyDescent="0.25">
      <c r="A57" t="s">
        <v>198</v>
      </c>
      <c r="B57" t="s">
        <v>24</v>
      </c>
      <c r="C57" t="s">
        <v>161</v>
      </c>
      <c r="D57" t="s">
        <v>72</v>
      </c>
      <c r="E57" t="s">
        <v>27</v>
      </c>
      <c r="F57" t="s">
        <v>28</v>
      </c>
      <c r="G57" t="s">
        <v>45</v>
      </c>
      <c r="H57" t="s">
        <v>59</v>
      </c>
      <c r="I57" t="s">
        <v>60</v>
      </c>
      <c r="J57" t="s">
        <v>61</v>
      </c>
      <c r="L57" t="s">
        <v>199</v>
      </c>
      <c r="M57">
        <v>12399</v>
      </c>
      <c r="N57" t="s">
        <v>32</v>
      </c>
      <c r="O57" t="s">
        <v>32</v>
      </c>
      <c r="P57">
        <v>45549</v>
      </c>
      <c r="Q57">
        <v>45616</v>
      </c>
      <c r="R57">
        <v>45566</v>
      </c>
      <c r="S57" t="s">
        <v>33</v>
      </c>
      <c r="T57" t="s">
        <v>34</v>
      </c>
      <c r="U57">
        <v>67</v>
      </c>
      <c r="V57">
        <v>17</v>
      </c>
      <c r="W57" t="s">
        <v>57</v>
      </c>
    </row>
    <row r="58" spans="1:23" x14ac:dyDescent="0.25">
      <c r="A58" t="s">
        <v>200</v>
      </c>
      <c r="B58" t="s">
        <v>24</v>
      </c>
      <c r="C58" t="s">
        <v>102</v>
      </c>
      <c r="D58" t="s">
        <v>72</v>
      </c>
      <c r="E58" t="s">
        <v>27</v>
      </c>
      <c r="F58" t="s">
        <v>28</v>
      </c>
      <c r="G58" t="s">
        <v>45</v>
      </c>
      <c r="H58" t="s">
        <v>59</v>
      </c>
      <c r="I58" t="s">
        <v>95</v>
      </c>
      <c r="J58" t="s">
        <v>30</v>
      </c>
      <c r="L58" t="s">
        <v>201</v>
      </c>
      <c r="M58">
        <v>10999</v>
      </c>
      <c r="N58" t="s">
        <v>32</v>
      </c>
      <c r="O58" t="s">
        <v>32</v>
      </c>
      <c r="P58">
        <v>45549</v>
      </c>
      <c r="Q58">
        <v>45616</v>
      </c>
      <c r="R58">
        <v>45581</v>
      </c>
      <c r="S58" t="s">
        <v>92</v>
      </c>
      <c r="T58" t="s">
        <v>34</v>
      </c>
      <c r="U58">
        <v>67</v>
      </c>
      <c r="V58">
        <v>32</v>
      </c>
      <c r="W58" t="s">
        <v>57</v>
      </c>
    </row>
    <row r="59" spans="1:23" x14ac:dyDescent="0.25">
      <c r="A59" t="s">
        <v>202</v>
      </c>
      <c r="B59" t="s">
        <v>24</v>
      </c>
      <c r="C59" t="s">
        <v>203</v>
      </c>
      <c r="D59" t="s">
        <v>204</v>
      </c>
      <c r="E59" t="s">
        <v>27</v>
      </c>
      <c r="F59" t="s">
        <v>28</v>
      </c>
      <c r="G59" t="s">
        <v>45</v>
      </c>
      <c r="H59" t="s">
        <v>46</v>
      </c>
      <c r="I59" t="s">
        <v>95</v>
      </c>
      <c r="L59" t="s">
        <v>205</v>
      </c>
      <c r="M59">
        <v>10999</v>
      </c>
      <c r="N59" t="s">
        <v>32</v>
      </c>
      <c r="O59" t="s">
        <v>32</v>
      </c>
      <c r="P59">
        <v>45550</v>
      </c>
      <c r="Q59">
        <v>45616</v>
      </c>
      <c r="R59">
        <v>45581</v>
      </c>
      <c r="S59" t="s">
        <v>92</v>
      </c>
      <c r="T59" t="s">
        <v>34</v>
      </c>
      <c r="U59">
        <v>66</v>
      </c>
      <c r="V59">
        <v>31</v>
      </c>
      <c r="W59" t="s">
        <v>57</v>
      </c>
    </row>
    <row r="60" spans="1:23" x14ac:dyDescent="0.25">
      <c r="A60" t="s">
        <v>202</v>
      </c>
      <c r="B60" t="s">
        <v>24</v>
      </c>
      <c r="C60" t="s">
        <v>203</v>
      </c>
      <c r="D60" t="s">
        <v>204</v>
      </c>
      <c r="E60" t="s">
        <v>27</v>
      </c>
      <c r="F60" t="s">
        <v>28</v>
      </c>
      <c r="G60" t="s">
        <v>45</v>
      </c>
      <c r="H60" t="s">
        <v>46</v>
      </c>
      <c r="I60" t="s">
        <v>95</v>
      </c>
      <c r="L60" t="s">
        <v>205</v>
      </c>
      <c r="M60">
        <v>10999</v>
      </c>
      <c r="N60" t="s">
        <v>32</v>
      </c>
      <c r="O60" t="s">
        <v>32</v>
      </c>
      <c r="P60">
        <v>45550</v>
      </c>
      <c r="Q60">
        <v>45616</v>
      </c>
      <c r="R60">
        <v>45581</v>
      </c>
      <c r="S60" t="s">
        <v>92</v>
      </c>
      <c r="T60" t="s">
        <v>34</v>
      </c>
      <c r="U60">
        <v>66</v>
      </c>
      <c r="V60">
        <v>31</v>
      </c>
      <c r="W60" t="s">
        <v>57</v>
      </c>
    </row>
    <row r="61" spans="1:23" x14ac:dyDescent="0.25">
      <c r="A61" t="s">
        <v>206</v>
      </c>
      <c r="B61" t="s">
        <v>24</v>
      </c>
      <c r="C61" t="s">
        <v>207</v>
      </c>
      <c r="D61" t="s">
        <v>167</v>
      </c>
      <c r="E61" t="s">
        <v>27</v>
      </c>
      <c r="F61" t="s">
        <v>55</v>
      </c>
      <c r="G61" t="s">
        <v>103</v>
      </c>
      <c r="L61" t="s">
        <v>205</v>
      </c>
      <c r="M61">
        <v>7849</v>
      </c>
      <c r="N61" t="s">
        <v>208</v>
      </c>
      <c r="O61" t="s">
        <v>41</v>
      </c>
      <c r="P61">
        <v>45551</v>
      </c>
      <c r="Q61">
        <v>45595</v>
      </c>
      <c r="R61">
        <v>45610</v>
      </c>
      <c r="S61" t="s">
        <v>33</v>
      </c>
      <c r="T61" t="s">
        <v>34</v>
      </c>
      <c r="U61">
        <v>44</v>
      </c>
      <c r="V61">
        <v>59</v>
      </c>
      <c r="W61" t="s">
        <v>69</v>
      </c>
    </row>
    <row r="62" spans="1:23" x14ac:dyDescent="0.25">
      <c r="A62" t="s">
        <v>131</v>
      </c>
      <c r="B62" t="s">
        <v>65</v>
      </c>
      <c r="C62" t="s">
        <v>209</v>
      </c>
      <c r="D62" t="s">
        <v>204</v>
      </c>
      <c r="E62" t="s">
        <v>107</v>
      </c>
      <c r="F62" t="s">
        <v>28</v>
      </c>
      <c r="G62" t="s">
        <v>45</v>
      </c>
      <c r="H62" t="s">
        <v>46</v>
      </c>
      <c r="I62" t="s">
        <v>95</v>
      </c>
      <c r="L62" t="s">
        <v>205</v>
      </c>
      <c r="M62">
        <v>5074</v>
      </c>
      <c r="N62" t="s">
        <v>135</v>
      </c>
      <c r="O62" t="s">
        <v>135</v>
      </c>
      <c r="P62">
        <v>45556</v>
      </c>
      <c r="Q62">
        <v>45570</v>
      </c>
      <c r="R62">
        <v>45577</v>
      </c>
      <c r="S62" t="s">
        <v>92</v>
      </c>
      <c r="T62" t="s">
        <v>34</v>
      </c>
      <c r="U62">
        <v>14</v>
      </c>
      <c r="V62">
        <v>21</v>
      </c>
      <c r="W62" t="s">
        <v>69</v>
      </c>
    </row>
    <row r="63" spans="1:23" x14ac:dyDescent="0.25">
      <c r="A63" t="s">
        <v>80</v>
      </c>
      <c r="B63" t="s">
        <v>65</v>
      </c>
      <c r="C63" t="s">
        <v>81</v>
      </c>
      <c r="D63" t="s">
        <v>72</v>
      </c>
      <c r="E63" t="s">
        <v>80</v>
      </c>
      <c r="F63" t="s">
        <v>28</v>
      </c>
      <c r="G63" t="s">
        <v>45</v>
      </c>
      <c r="H63" t="s">
        <v>46</v>
      </c>
      <c r="I63" t="s">
        <v>60</v>
      </c>
      <c r="L63" t="s">
        <v>205</v>
      </c>
      <c r="M63">
        <v>6250</v>
      </c>
      <c r="N63" t="s">
        <v>135</v>
      </c>
      <c r="O63" t="s">
        <v>135</v>
      </c>
      <c r="P63">
        <v>45558</v>
      </c>
      <c r="Q63">
        <v>45573</v>
      </c>
      <c r="R63">
        <v>45582</v>
      </c>
      <c r="S63" t="s">
        <v>92</v>
      </c>
      <c r="T63" t="s">
        <v>34</v>
      </c>
      <c r="U63">
        <v>15</v>
      </c>
      <c r="V63">
        <v>24</v>
      </c>
      <c r="W63" t="s">
        <v>69</v>
      </c>
    </row>
    <row r="64" spans="1:23" x14ac:dyDescent="0.25">
      <c r="A64" t="s">
        <v>80</v>
      </c>
      <c r="B64" t="s">
        <v>65</v>
      </c>
      <c r="C64" t="s">
        <v>81</v>
      </c>
      <c r="D64" t="s">
        <v>72</v>
      </c>
      <c r="E64" t="s">
        <v>80</v>
      </c>
      <c r="F64" t="s">
        <v>28</v>
      </c>
      <c r="G64" t="s">
        <v>45</v>
      </c>
      <c r="H64" t="s">
        <v>46</v>
      </c>
      <c r="I64" t="s">
        <v>60</v>
      </c>
      <c r="L64" t="s">
        <v>205</v>
      </c>
      <c r="M64">
        <v>6250</v>
      </c>
      <c r="N64" t="s">
        <v>135</v>
      </c>
      <c r="O64" t="s">
        <v>135</v>
      </c>
      <c r="P64">
        <v>45558</v>
      </c>
      <c r="Q64">
        <v>45573</v>
      </c>
      <c r="R64">
        <v>45582</v>
      </c>
      <c r="S64" t="s">
        <v>92</v>
      </c>
      <c r="T64" t="s">
        <v>34</v>
      </c>
      <c r="U64">
        <v>15</v>
      </c>
      <c r="V64">
        <v>24</v>
      </c>
      <c r="W64" t="s">
        <v>69</v>
      </c>
    </row>
    <row r="65" spans="1:23" x14ac:dyDescent="0.25">
      <c r="A65" t="s">
        <v>210</v>
      </c>
      <c r="B65" t="s">
        <v>24</v>
      </c>
      <c r="C65" t="s">
        <v>81</v>
      </c>
      <c r="D65" t="s">
        <v>72</v>
      </c>
      <c r="E65" t="s">
        <v>27</v>
      </c>
      <c r="F65" t="s">
        <v>28</v>
      </c>
      <c r="G65" t="s">
        <v>78</v>
      </c>
      <c r="H65" t="s">
        <v>116</v>
      </c>
      <c r="I65" t="s">
        <v>108</v>
      </c>
      <c r="L65" t="s">
        <v>205</v>
      </c>
      <c r="M65">
        <v>8943</v>
      </c>
      <c r="N65" t="s">
        <v>211</v>
      </c>
      <c r="O65" t="s">
        <v>41</v>
      </c>
      <c r="P65">
        <v>45561</v>
      </c>
      <c r="Q65">
        <v>45606</v>
      </c>
      <c r="R65">
        <v>45575</v>
      </c>
      <c r="S65" t="s">
        <v>92</v>
      </c>
      <c r="T65" t="s">
        <v>34</v>
      </c>
      <c r="U65">
        <v>45</v>
      </c>
      <c r="V65">
        <v>14</v>
      </c>
      <c r="W65" t="s">
        <v>57</v>
      </c>
    </row>
    <row r="66" spans="1:23" x14ac:dyDescent="0.25">
      <c r="A66" t="s">
        <v>212</v>
      </c>
      <c r="B66" t="s">
        <v>24</v>
      </c>
      <c r="C66" t="s">
        <v>213</v>
      </c>
      <c r="D66" t="s">
        <v>26</v>
      </c>
      <c r="E66" t="s">
        <v>27</v>
      </c>
      <c r="F66" t="s">
        <v>55</v>
      </c>
      <c r="G66" t="s">
        <v>140</v>
      </c>
      <c r="L66" t="s">
        <v>205</v>
      </c>
      <c r="M66">
        <v>8349</v>
      </c>
      <c r="N66" t="s">
        <v>214</v>
      </c>
      <c r="O66" t="s">
        <v>41</v>
      </c>
      <c r="P66">
        <v>45561</v>
      </c>
      <c r="Q66">
        <v>45606</v>
      </c>
      <c r="T66" t="s">
        <v>90</v>
      </c>
      <c r="U66">
        <v>45</v>
      </c>
      <c r="V66">
        <v>0</v>
      </c>
    </row>
    <row r="67" spans="1:23" x14ac:dyDescent="0.25">
      <c r="A67" t="s">
        <v>64</v>
      </c>
      <c r="B67" t="s">
        <v>65</v>
      </c>
      <c r="E67" t="s">
        <v>64</v>
      </c>
      <c r="F67" t="s">
        <v>28</v>
      </c>
      <c r="G67" t="s">
        <v>45</v>
      </c>
      <c r="H67" t="s">
        <v>46</v>
      </c>
      <c r="I67" t="s">
        <v>60</v>
      </c>
      <c r="L67" t="s">
        <v>205</v>
      </c>
      <c r="M67">
        <v>9208</v>
      </c>
      <c r="N67" t="s">
        <v>215</v>
      </c>
      <c r="O67" t="s">
        <v>41</v>
      </c>
      <c r="P67">
        <v>45561</v>
      </c>
      <c r="Q67">
        <v>45579</v>
      </c>
      <c r="T67" t="s">
        <v>90</v>
      </c>
      <c r="U67">
        <v>18</v>
      </c>
      <c r="V67">
        <v>0</v>
      </c>
    </row>
    <row r="68" spans="1:23" x14ac:dyDescent="0.25">
      <c r="A68" t="s">
        <v>64</v>
      </c>
      <c r="B68" t="s">
        <v>65</v>
      </c>
      <c r="E68" t="s">
        <v>64</v>
      </c>
      <c r="F68" t="s">
        <v>28</v>
      </c>
      <c r="G68" t="s">
        <v>78</v>
      </c>
      <c r="H68" t="s">
        <v>125</v>
      </c>
      <c r="I68" t="s">
        <v>108</v>
      </c>
      <c r="L68" t="s">
        <v>205</v>
      </c>
      <c r="M68">
        <v>7433</v>
      </c>
      <c r="N68" t="s">
        <v>32</v>
      </c>
      <c r="O68" t="s">
        <v>32</v>
      </c>
      <c r="P68">
        <v>45564</v>
      </c>
      <c r="Q68">
        <v>45585</v>
      </c>
      <c r="R68">
        <v>45586</v>
      </c>
      <c r="S68" t="s">
        <v>92</v>
      </c>
      <c r="T68" t="s">
        <v>34</v>
      </c>
      <c r="U68">
        <v>21</v>
      </c>
      <c r="V68">
        <v>22</v>
      </c>
      <c r="W68" t="s">
        <v>69</v>
      </c>
    </row>
    <row r="69" spans="1:23" x14ac:dyDescent="0.25">
      <c r="A69" t="s">
        <v>131</v>
      </c>
      <c r="B69" t="s">
        <v>65</v>
      </c>
      <c r="C69" t="s">
        <v>209</v>
      </c>
      <c r="D69" t="s">
        <v>204</v>
      </c>
      <c r="E69" t="s">
        <v>107</v>
      </c>
      <c r="F69" t="s">
        <v>28</v>
      </c>
      <c r="G69" t="s">
        <v>78</v>
      </c>
      <c r="H69" t="s">
        <v>116</v>
      </c>
      <c r="I69" t="s">
        <v>108</v>
      </c>
      <c r="L69" t="s">
        <v>205</v>
      </c>
      <c r="M69">
        <v>4020</v>
      </c>
      <c r="N69" t="s">
        <v>135</v>
      </c>
      <c r="O69" t="s">
        <v>135</v>
      </c>
      <c r="P69">
        <v>45564</v>
      </c>
      <c r="Q69">
        <v>45577</v>
      </c>
      <c r="R69">
        <v>45577</v>
      </c>
      <c r="S69" t="s">
        <v>92</v>
      </c>
      <c r="T69" t="s">
        <v>34</v>
      </c>
      <c r="U69">
        <v>13</v>
      </c>
      <c r="V69">
        <v>13</v>
      </c>
      <c r="W69" t="s">
        <v>57</v>
      </c>
    </row>
    <row r="70" spans="1:23" x14ac:dyDescent="0.25">
      <c r="A70" t="s">
        <v>216</v>
      </c>
      <c r="B70" t="s">
        <v>24</v>
      </c>
      <c r="C70" t="s">
        <v>167</v>
      </c>
      <c r="D70" t="s">
        <v>167</v>
      </c>
      <c r="E70" t="s">
        <v>167</v>
      </c>
      <c r="F70" t="s">
        <v>28</v>
      </c>
      <c r="G70" t="s">
        <v>45</v>
      </c>
      <c r="H70" t="s">
        <v>217</v>
      </c>
      <c r="I70" t="s">
        <v>60</v>
      </c>
      <c r="L70" t="s">
        <v>205</v>
      </c>
      <c r="M70">
        <v>8544.9054400000005</v>
      </c>
      <c r="P70">
        <v>45566</v>
      </c>
      <c r="Q70">
        <v>45574</v>
      </c>
      <c r="R70">
        <v>45574</v>
      </c>
      <c r="S70" t="s">
        <v>218</v>
      </c>
      <c r="T70" t="s">
        <v>34</v>
      </c>
      <c r="U70">
        <v>8</v>
      </c>
      <c r="V70">
        <v>8</v>
      </c>
      <c r="W70" t="s">
        <v>57</v>
      </c>
    </row>
    <row r="71" spans="1:23" x14ac:dyDescent="0.25">
      <c r="A71" t="s">
        <v>219</v>
      </c>
      <c r="B71" t="s">
        <v>24</v>
      </c>
      <c r="C71" t="s">
        <v>115</v>
      </c>
      <c r="D71" t="s">
        <v>72</v>
      </c>
      <c r="E71" t="s">
        <v>27</v>
      </c>
      <c r="F71" t="s">
        <v>28</v>
      </c>
      <c r="G71" t="s">
        <v>45</v>
      </c>
      <c r="H71" t="s">
        <v>59</v>
      </c>
      <c r="I71" t="s">
        <v>220</v>
      </c>
      <c r="L71" t="s">
        <v>205</v>
      </c>
      <c r="M71">
        <v>12899</v>
      </c>
      <c r="N71" t="s">
        <v>221</v>
      </c>
      <c r="O71" t="s">
        <v>41</v>
      </c>
      <c r="P71">
        <v>45578</v>
      </c>
      <c r="Q71">
        <v>45643</v>
      </c>
      <c r="R71">
        <v>45598</v>
      </c>
      <c r="S71" t="s">
        <v>92</v>
      </c>
      <c r="T71" t="s">
        <v>34</v>
      </c>
      <c r="U71">
        <v>65</v>
      </c>
      <c r="V71">
        <v>20</v>
      </c>
      <c r="W71" t="s">
        <v>57</v>
      </c>
    </row>
    <row r="72" spans="1:23" x14ac:dyDescent="0.25">
      <c r="A72" t="s">
        <v>222</v>
      </c>
      <c r="B72" t="s">
        <v>24</v>
      </c>
      <c r="C72" t="s">
        <v>94</v>
      </c>
      <c r="D72" t="s">
        <v>72</v>
      </c>
      <c r="E72" t="s">
        <v>27</v>
      </c>
      <c r="F72" t="s">
        <v>28</v>
      </c>
      <c r="G72" t="s">
        <v>45</v>
      </c>
      <c r="H72" t="s">
        <v>46</v>
      </c>
      <c r="I72" t="s">
        <v>95</v>
      </c>
      <c r="L72" t="s">
        <v>205</v>
      </c>
      <c r="M72">
        <v>10499</v>
      </c>
      <c r="N72" t="s">
        <v>32</v>
      </c>
      <c r="O72" t="s">
        <v>32</v>
      </c>
      <c r="P72">
        <v>45581</v>
      </c>
      <c r="Q72">
        <v>45645</v>
      </c>
      <c r="R72">
        <v>45586</v>
      </c>
      <c r="S72" t="s">
        <v>92</v>
      </c>
      <c r="T72" t="s">
        <v>34</v>
      </c>
      <c r="U72">
        <v>64</v>
      </c>
      <c r="V72">
        <v>5</v>
      </c>
      <c r="W72" t="s">
        <v>57</v>
      </c>
    </row>
    <row r="73" spans="1:23" x14ac:dyDescent="0.25">
      <c r="A73" t="s">
        <v>223</v>
      </c>
      <c r="B73" t="s">
        <v>24</v>
      </c>
      <c r="C73" t="s">
        <v>224</v>
      </c>
      <c r="D73" t="s">
        <v>37</v>
      </c>
      <c r="E73" t="s">
        <v>27</v>
      </c>
      <c r="F73" t="s">
        <v>28</v>
      </c>
      <c r="G73" t="s">
        <v>45</v>
      </c>
      <c r="H73" t="s">
        <v>59</v>
      </c>
      <c r="I73" t="s">
        <v>225</v>
      </c>
      <c r="L73" t="s">
        <v>205</v>
      </c>
      <c r="M73">
        <v>12899</v>
      </c>
      <c r="N73" t="s">
        <v>32</v>
      </c>
      <c r="O73" t="s">
        <v>32</v>
      </c>
      <c r="P73">
        <v>45582</v>
      </c>
      <c r="Q73">
        <v>45648</v>
      </c>
      <c r="R73">
        <v>45629</v>
      </c>
      <c r="S73" t="s">
        <v>33</v>
      </c>
      <c r="T73" t="s">
        <v>34</v>
      </c>
      <c r="U73">
        <v>66</v>
      </c>
      <c r="V73">
        <v>47</v>
      </c>
      <c r="W73" t="s">
        <v>57</v>
      </c>
    </row>
    <row r="74" spans="1:23" x14ac:dyDescent="0.25">
      <c r="A74" t="s">
        <v>64</v>
      </c>
      <c r="B74" t="s">
        <v>65</v>
      </c>
      <c r="C74" t="s">
        <v>213</v>
      </c>
      <c r="D74" t="s">
        <v>26</v>
      </c>
      <c r="E74" t="s">
        <v>64</v>
      </c>
      <c r="F74" t="s">
        <v>28</v>
      </c>
      <c r="G74" t="s">
        <v>45</v>
      </c>
      <c r="H74" t="s">
        <v>217</v>
      </c>
      <c r="I74" t="s">
        <v>60</v>
      </c>
      <c r="L74" t="s">
        <v>205</v>
      </c>
      <c r="M74">
        <v>12777.5</v>
      </c>
      <c r="N74" t="s">
        <v>226</v>
      </c>
      <c r="O74" t="s">
        <v>41</v>
      </c>
      <c r="P74">
        <v>45587</v>
      </c>
      <c r="Q74">
        <v>45608</v>
      </c>
      <c r="R74">
        <v>45614</v>
      </c>
      <c r="S74" t="s">
        <v>92</v>
      </c>
      <c r="T74" t="s">
        <v>34</v>
      </c>
      <c r="U74">
        <v>21</v>
      </c>
      <c r="V74">
        <v>27</v>
      </c>
      <c r="W74" t="s">
        <v>69</v>
      </c>
    </row>
    <row r="75" spans="1:23" x14ac:dyDescent="0.25">
      <c r="A75" t="s">
        <v>64</v>
      </c>
      <c r="B75" t="s">
        <v>65</v>
      </c>
      <c r="C75" t="s">
        <v>213</v>
      </c>
      <c r="D75" t="s">
        <v>26</v>
      </c>
      <c r="E75" t="s">
        <v>64</v>
      </c>
      <c r="F75" t="s">
        <v>28</v>
      </c>
      <c r="G75" t="s">
        <v>45</v>
      </c>
      <c r="H75" t="s">
        <v>217</v>
      </c>
      <c r="I75" t="s">
        <v>60</v>
      </c>
      <c r="L75" t="s">
        <v>205</v>
      </c>
      <c r="M75">
        <v>12777.5</v>
      </c>
      <c r="N75" t="s">
        <v>226</v>
      </c>
      <c r="O75" t="s">
        <v>41</v>
      </c>
      <c r="P75">
        <v>45587</v>
      </c>
      <c r="Q75">
        <v>45608</v>
      </c>
      <c r="R75">
        <v>45614</v>
      </c>
      <c r="S75" t="s">
        <v>92</v>
      </c>
      <c r="T75" t="s">
        <v>34</v>
      </c>
      <c r="U75">
        <v>21</v>
      </c>
      <c r="V75">
        <v>27</v>
      </c>
      <c r="W75" t="s">
        <v>69</v>
      </c>
    </row>
    <row r="76" spans="1:23" x14ac:dyDescent="0.25">
      <c r="A76" t="s">
        <v>131</v>
      </c>
      <c r="B76" t="s">
        <v>65</v>
      </c>
      <c r="C76" t="s">
        <v>227</v>
      </c>
      <c r="D76" t="s">
        <v>72</v>
      </c>
      <c r="E76" t="s">
        <v>107</v>
      </c>
      <c r="F76" t="s">
        <v>28</v>
      </c>
      <c r="G76" t="s">
        <v>45</v>
      </c>
      <c r="H76" t="s">
        <v>217</v>
      </c>
      <c r="I76" t="s">
        <v>60</v>
      </c>
      <c r="L76" t="s">
        <v>205</v>
      </c>
      <c r="M76">
        <v>8544.91</v>
      </c>
      <c r="N76" t="s">
        <v>135</v>
      </c>
      <c r="O76" t="s">
        <v>135</v>
      </c>
      <c r="P76">
        <v>45587</v>
      </c>
      <c r="T76" t="s">
        <v>90</v>
      </c>
      <c r="U76">
        <v>0</v>
      </c>
      <c r="V76">
        <v>0</v>
      </c>
    </row>
    <row r="77" spans="1:23" x14ac:dyDescent="0.25">
      <c r="A77" t="s">
        <v>228</v>
      </c>
      <c r="B77" t="s">
        <v>24</v>
      </c>
      <c r="C77" t="s">
        <v>229</v>
      </c>
      <c r="D77" t="s">
        <v>26</v>
      </c>
      <c r="E77" t="s">
        <v>27</v>
      </c>
      <c r="F77" t="s">
        <v>28</v>
      </c>
      <c r="G77" t="s">
        <v>78</v>
      </c>
      <c r="H77" t="s">
        <v>116</v>
      </c>
      <c r="I77" t="s">
        <v>108</v>
      </c>
      <c r="L77" t="s">
        <v>205</v>
      </c>
      <c r="M77">
        <v>8943</v>
      </c>
      <c r="N77" t="s">
        <v>230</v>
      </c>
      <c r="O77" t="s">
        <v>41</v>
      </c>
      <c r="P77">
        <v>45586</v>
      </c>
      <c r="Q77">
        <v>45610</v>
      </c>
      <c r="R77">
        <v>45614</v>
      </c>
      <c r="S77" t="s">
        <v>92</v>
      </c>
      <c r="T77" t="s">
        <v>34</v>
      </c>
      <c r="U77">
        <v>24</v>
      </c>
      <c r="V77">
        <v>28</v>
      </c>
      <c r="W77" t="s">
        <v>69</v>
      </c>
    </row>
    <row r="78" spans="1:23" x14ac:dyDescent="0.25">
      <c r="A78" t="s">
        <v>64</v>
      </c>
      <c r="B78" t="s">
        <v>65</v>
      </c>
      <c r="E78" t="s">
        <v>64</v>
      </c>
      <c r="F78" t="s">
        <v>231</v>
      </c>
      <c r="G78" t="s">
        <v>232</v>
      </c>
      <c r="L78" t="s">
        <v>205</v>
      </c>
      <c r="M78">
        <v>15516</v>
      </c>
      <c r="N78" t="s">
        <v>32</v>
      </c>
      <c r="O78" t="s">
        <v>32</v>
      </c>
      <c r="P78">
        <v>45589</v>
      </c>
      <c r="Q78">
        <v>45610</v>
      </c>
      <c r="R78">
        <v>45595</v>
      </c>
      <c r="S78" t="s">
        <v>92</v>
      </c>
      <c r="T78" t="s">
        <v>34</v>
      </c>
      <c r="U78">
        <v>21</v>
      </c>
      <c r="V78">
        <v>6</v>
      </c>
      <c r="W78" t="s">
        <v>57</v>
      </c>
    </row>
    <row r="79" spans="1:23" x14ac:dyDescent="0.25">
      <c r="A79" t="s">
        <v>64</v>
      </c>
      <c r="B79" t="s">
        <v>65</v>
      </c>
      <c r="E79" t="s">
        <v>64</v>
      </c>
      <c r="F79" t="s">
        <v>28</v>
      </c>
      <c r="G79" t="s">
        <v>45</v>
      </c>
      <c r="H79" t="s">
        <v>46</v>
      </c>
      <c r="I79" t="s">
        <v>60</v>
      </c>
      <c r="L79" t="s">
        <v>205</v>
      </c>
      <c r="M79">
        <v>10045</v>
      </c>
      <c r="N79" t="s">
        <v>233</v>
      </c>
      <c r="O79" t="s">
        <v>41</v>
      </c>
      <c r="P79">
        <v>45591</v>
      </c>
      <c r="Q79">
        <v>45612</v>
      </c>
      <c r="T79" t="s">
        <v>90</v>
      </c>
      <c r="U79">
        <v>21</v>
      </c>
      <c r="V79">
        <v>0</v>
      </c>
    </row>
    <row r="80" spans="1:23" x14ac:dyDescent="0.25">
      <c r="A80" t="s">
        <v>190</v>
      </c>
      <c r="B80" t="s">
        <v>24</v>
      </c>
      <c r="C80" t="s">
        <v>234</v>
      </c>
      <c r="D80" t="s">
        <v>26</v>
      </c>
      <c r="E80" t="s">
        <v>27</v>
      </c>
      <c r="F80" t="s">
        <v>28</v>
      </c>
      <c r="G80" t="s">
        <v>45</v>
      </c>
      <c r="H80" t="s">
        <v>46</v>
      </c>
      <c r="I80" t="s">
        <v>47</v>
      </c>
      <c r="L80" t="s">
        <v>205</v>
      </c>
      <c r="M80">
        <v>11649</v>
      </c>
      <c r="N80" t="s">
        <v>235</v>
      </c>
      <c r="O80" t="s">
        <v>41</v>
      </c>
      <c r="P80">
        <v>45591</v>
      </c>
      <c r="Q80">
        <v>45606</v>
      </c>
      <c r="R80">
        <v>45614</v>
      </c>
      <c r="S80" t="s">
        <v>92</v>
      </c>
      <c r="T80" t="s">
        <v>34</v>
      </c>
      <c r="U80">
        <v>15</v>
      </c>
      <c r="V80">
        <v>23</v>
      </c>
      <c r="W80" t="s">
        <v>69</v>
      </c>
    </row>
    <row r="81" spans="1:23" x14ac:dyDescent="0.25">
      <c r="A81" t="s">
        <v>190</v>
      </c>
      <c r="B81" t="s">
        <v>24</v>
      </c>
      <c r="C81" t="s">
        <v>234</v>
      </c>
      <c r="D81" t="s">
        <v>26</v>
      </c>
      <c r="E81" t="s">
        <v>27</v>
      </c>
      <c r="F81" t="s">
        <v>28</v>
      </c>
      <c r="G81" t="s">
        <v>45</v>
      </c>
      <c r="H81" t="s">
        <v>46</v>
      </c>
      <c r="I81" t="s">
        <v>47</v>
      </c>
      <c r="L81" t="s">
        <v>205</v>
      </c>
      <c r="M81">
        <v>11649</v>
      </c>
      <c r="N81" t="s">
        <v>235</v>
      </c>
      <c r="O81" t="s">
        <v>41</v>
      </c>
      <c r="P81">
        <v>45591</v>
      </c>
      <c r="Q81">
        <v>45606</v>
      </c>
      <c r="R81">
        <v>45614</v>
      </c>
      <c r="S81" t="s">
        <v>92</v>
      </c>
      <c r="T81" t="s">
        <v>34</v>
      </c>
      <c r="U81">
        <v>15</v>
      </c>
      <c r="V81">
        <v>23</v>
      </c>
      <c r="W81" t="s">
        <v>69</v>
      </c>
    </row>
    <row r="82" spans="1:23" x14ac:dyDescent="0.25">
      <c r="A82" t="s">
        <v>236</v>
      </c>
      <c r="B82" t="s">
        <v>24</v>
      </c>
      <c r="C82" t="s">
        <v>123</v>
      </c>
      <c r="D82" t="s">
        <v>72</v>
      </c>
      <c r="E82" t="s">
        <v>27</v>
      </c>
      <c r="F82" t="s">
        <v>28</v>
      </c>
      <c r="G82" t="s">
        <v>78</v>
      </c>
      <c r="H82" t="s">
        <v>125</v>
      </c>
      <c r="I82" t="s">
        <v>60</v>
      </c>
      <c r="L82" t="s">
        <v>205</v>
      </c>
      <c r="M82">
        <v>5100</v>
      </c>
      <c r="N82" t="s">
        <v>237</v>
      </c>
      <c r="O82" t="s">
        <v>41</v>
      </c>
      <c r="P82">
        <v>45593</v>
      </c>
      <c r="Q82">
        <v>45607</v>
      </c>
      <c r="R82">
        <v>45617</v>
      </c>
      <c r="S82" t="s">
        <v>92</v>
      </c>
      <c r="T82" t="s">
        <v>34</v>
      </c>
      <c r="U82">
        <v>14</v>
      </c>
      <c r="V82">
        <v>24</v>
      </c>
      <c r="W82" t="s">
        <v>69</v>
      </c>
    </row>
    <row r="83" spans="1:23" x14ac:dyDescent="0.25">
      <c r="A83" t="s">
        <v>236</v>
      </c>
      <c r="B83" t="s">
        <v>24</v>
      </c>
      <c r="C83" t="s">
        <v>123</v>
      </c>
      <c r="D83" t="s">
        <v>72</v>
      </c>
      <c r="E83" t="s">
        <v>27</v>
      </c>
      <c r="F83" t="s">
        <v>28</v>
      </c>
      <c r="G83" t="s">
        <v>78</v>
      </c>
      <c r="H83" t="s">
        <v>125</v>
      </c>
      <c r="I83" t="s">
        <v>108</v>
      </c>
      <c r="L83" t="s">
        <v>205</v>
      </c>
      <c r="M83">
        <v>5300</v>
      </c>
      <c r="N83" t="s">
        <v>237</v>
      </c>
      <c r="O83" t="s">
        <v>41</v>
      </c>
      <c r="P83">
        <v>45593</v>
      </c>
      <c r="Q83">
        <v>45607</v>
      </c>
      <c r="R83">
        <v>45617</v>
      </c>
      <c r="S83" t="s">
        <v>92</v>
      </c>
      <c r="T83" t="s">
        <v>34</v>
      </c>
      <c r="U83">
        <v>14</v>
      </c>
      <c r="V83">
        <v>24</v>
      </c>
      <c r="W83" t="s">
        <v>69</v>
      </c>
    </row>
    <row r="84" spans="1:23" x14ac:dyDescent="0.25">
      <c r="A84" t="s">
        <v>238</v>
      </c>
      <c r="B84" t="s">
        <v>24</v>
      </c>
      <c r="C84" t="s">
        <v>239</v>
      </c>
      <c r="D84" t="s">
        <v>72</v>
      </c>
      <c r="E84" t="s">
        <v>27</v>
      </c>
      <c r="F84" t="s">
        <v>28</v>
      </c>
      <c r="G84" t="s">
        <v>45</v>
      </c>
      <c r="H84" t="s">
        <v>46</v>
      </c>
      <c r="I84" t="s">
        <v>95</v>
      </c>
      <c r="L84" t="s">
        <v>205</v>
      </c>
      <c r="M84">
        <v>12099</v>
      </c>
      <c r="N84" t="s">
        <v>32</v>
      </c>
      <c r="O84" t="s">
        <v>32</v>
      </c>
      <c r="P84">
        <v>45607</v>
      </c>
      <c r="Q84">
        <v>45622</v>
      </c>
      <c r="R84">
        <v>45623</v>
      </c>
      <c r="S84" t="s">
        <v>92</v>
      </c>
      <c r="T84" t="s">
        <v>34</v>
      </c>
      <c r="U84">
        <v>15</v>
      </c>
      <c r="V84">
        <v>16</v>
      </c>
      <c r="W84" t="s">
        <v>69</v>
      </c>
    </row>
    <row r="85" spans="1:23" x14ac:dyDescent="0.25">
      <c r="A85" t="s">
        <v>240</v>
      </c>
      <c r="B85" t="s">
        <v>24</v>
      </c>
      <c r="C85" t="s">
        <v>71</v>
      </c>
      <c r="D85" t="s">
        <v>72</v>
      </c>
      <c r="E85" t="s">
        <v>240</v>
      </c>
      <c r="F85" t="s">
        <v>28</v>
      </c>
      <c r="G85" t="s">
        <v>78</v>
      </c>
      <c r="H85" t="s">
        <v>116</v>
      </c>
      <c r="I85" t="s">
        <v>108</v>
      </c>
      <c r="L85" t="s">
        <v>205</v>
      </c>
      <c r="M85">
        <v>4520</v>
      </c>
      <c r="N85" t="s">
        <v>135</v>
      </c>
      <c r="O85" t="s">
        <v>135</v>
      </c>
      <c r="P85">
        <v>45606</v>
      </c>
      <c r="Q85">
        <v>45618</v>
      </c>
      <c r="R85">
        <v>45617</v>
      </c>
      <c r="S85" t="s">
        <v>92</v>
      </c>
      <c r="T85" t="s">
        <v>34</v>
      </c>
      <c r="U85">
        <v>12</v>
      </c>
      <c r="V85">
        <v>11</v>
      </c>
      <c r="W85" t="s">
        <v>57</v>
      </c>
    </row>
    <row r="86" spans="1:23" x14ac:dyDescent="0.25">
      <c r="A86" t="s">
        <v>131</v>
      </c>
      <c r="B86" t="s">
        <v>65</v>
      </c>
      <c r="C86" t="s">
        <v>209</v>
      </c>
      <c r="D86" t="s">
        <v>204</v>
      </c>
      <c r="E86" t="s">
        <v>107</v>
      </c>
      <c r="F86" t="s">
        <v>28</v>
      </c>
      <c r="G86" t="s">
        <v>45</v>
      </c>
      <c r="H86" t="s">
        <v>46</v>
      </c>
      <c r="I86" t="s">
        <v>47</v>
      </c>
      <c r="L86" t="s">
        <v>205</v>
      </c>
      <c r="M86">
        <v>5766</v>
      </c>
      <c r="N86" t="s">
        <v>135</v>
      </c>
      <c r="O86" t="s">
        <v>135</v>
      </c>
      <c r="P86">
        <v>45608</v>
      </c>
      <c r="Q86">
        <v>45622</v>
      </c>
      <c r="R86">
        <v>45621</v>
      </c>
      <c r="S86" t="s">
        <v>92</v>
      </c>
      <c r="T86" t="s">
        <v>34</v>
      </c>
      <c r="U86">
        <v>14</v>
      </c>
      <c r="V86">
        <v>13</v>
      </c>
      <c r="W86" t="s">
        <v>57</v>
      </c>
    </row>
    <row r="87" spans="1:23" x14ac:dyDescent="0.25">
      <c r="A87" t="s">
        <v>241</v>
      </c>
      <c r="B87" t="s">
        <v>24</v>
      </c>
      <c r="C87" t="s">
        <v>123</v>
      </c>
      <c r="D87" t="s">
        <v>72</v>
      </c>
      <c r="E87" t="s">
        <v>27</v>
      </c>
      <c r="F87" t="s">
        <v>28</v>
      </c>
      <c r="G87" t="s">
        <v>78</v>
      </c>
      <c r="H87" t="s">
        <v>116</v>
      </c>
      <c r="I87" t="s">
        <v>242</v>
      </c>
      <c r="L87" t="s">
        <v>205</v>
      </c>
      <c r="M87">
        <v>11395</v>
      </c>
      <c r="N87" t="s">
        <v>32</v>
      </c>
      <c r="O87" t="s">
        <v>32</v>
      </c>
      <c r="P87">
        <v>45608</v>
      </c>
      <c r="Q87">
        <v>45620</v>
      </c>
      <c r="R87">
        <v>45623</v>
      </c>
      <c r="S87" t="s">
        <v>92</v>
      </c>
      <c r="T87" t="s">
        <v>34</v>
      </c>
      <c r="U87">
        <v>12</v>
      </c>
      <c r="V87">
        <v>15</v>
      </c>
      <c r="W87" t="s">
        <v>69</v>
      </c>
    </row>
    <row r="88" spans="1:23" x14ac:dyDescent="0.25">
      <c r="A88" t="s">
        <v>243</v>
      </c>
      <c r="B88" t="s">
        <v>24</v>
      </c>
      <c r="C88" t="s">
        <v>71</v>
      </c>
      <c r="D88" t="s">
        <v>72</v>
      </c>
      <c r="E88" t="s">
        <v>27</v>
      </c>
      <c r="F88" t="s">
        <v>28</v>
      </c>
      <c r="G88" t="s">
        <v>45</v>
      </c>
      <c r="H88" t="s">
        <v>46</v>
      </c>
      <c r="I88" t="s">
        <v>95</v>
      </c>
      <c r="L88" t="s">
        <v>205</v>
      </c>
      <c r="M88">
        <v>12919</v>
      </c>
      <c r="N88" t="s">
        <v>32</v>
      </c>
      <c r="O88" t="s">
        <v>32</v>
      </c>
      <c r="P88">
        <v>45610</v>
      </c>
      <c r="Q88">
        <v>45626</v>
      </c>
      <c r="R88">
        <v>45623</v>
      </c>
      <c r="S88" t="s">
        <v>92</v>
      </c>
      <c r="T88" t="s">
        <v>34</v>
      </c>
      <c r="U88">
        <v>16</v>
      </c>
      <c r="V88">
        <v>13</v>
      </c>
      <c r="W88" t="s">
        <v>57</v>
      </c>
    </row>
    <row r="89" spans="1:23" x14ac:dyDescent="0.25">
      <c r="A89" t="s">
        <v>131</v>
      </c>
      <c r="B89" t="s">
        <v>65</v>
      </c>
      <c r="C89" t="s">
        <v>209</v>
      </c>
      <c r="D89" t="s">
        <v>204</v>
      </c>
      <c r="E89" t="s">
        <v>107</v>
      </c>
      <c r="F89" t="s">
        <v>28</v>
      </c>
      <c r="G89" t="s">
        <v>45</v>
      </c>
      <c r="H89" t="s">
        <v>59</v>
      </c>
      <c r="I89" t="s">
        <v>108</v>
      </c>
      <c r="L89" t="s">
        <v>205</v>
      </c>
      <c r="M89">
        <v>6376</v>
      </c>
      <c r="N89" t="s">
        <v>135</v>
      </c>
      <c r="O89" t="s">
        <v>135</v>
      </c>
      <c r="P89">
        <v>45610</v>
      </c>
      <c r="Q89">
        <v>45623</v>
      </c>
      <c r="R89">
        <v>45621</v>
      </c>
      <c r="S89" t="s">
        <v>92</v>
      </c>
      <c r="T89" t="s">
        <v>34</v>
      </c>
      <c r="U89">
        <v>13</v>
      </c>
      <c r="V89">
        <v>11</v>
      </c>
      <c r="W89" t="s">
        <v>57</v>
      </c>
    </row>
    <row r="90" spans="1:23" x14ac:dyDescent="0.25">
      <c r="A90" t="s">
        <v>131</v>
      </c>
      <c r="B90" t="s">
        <v>65</v>
      </c>
      <c r="C90" t="s">
        <v>244</v>
      </c>
      <c r="D90" t="s">
        <v>204</v>
      </c>
      <c r="E90" t="s">
        <v>107</v>
      </c>
      <c r="F90" t="s">
        <v>28</v>
      </c>
      <c r="G90" t="s">
        <v>45</v>
      </c>
      <c r="H90" t="s">
        <v>59</v>
      </c>
      <c r="I90" t="s">
        <v>47</v>
      </c>
      <c r="L90" t="s">
        <v>205</v>
      </c>
      <c r="M90">
        <v>5294</v>
      </c>
      <c r="N90" t="s">
        <v>135</v>
      </c>
      <c r="O90" t="s">
        <v>135</v>
      </c>
      <c r="P90">
        <v>45610</v>
      </c>
      <c r="Q90">
        <v>45623</v>
      </c>
      <c r="R90">
        <v>45621</v>
      </c>
      <c r="S90" t="s">
        <v>92</v>
      </c>
      <c r="T90" t="s">
        <v>34</v>
      </c>
      <c r="U90">
        <v>13</v>
      </c>
      <c r="V90">
        <v>11</v>
      </c>
      <c r="W90" t="s">
        <v>57</v>
      </c>
    </row>
    <row r="91" spans="1:23" x14ac:dyDescent="0.25">
      <c r="A91" t="s">
        <v>245</v>
      </c>
      <c r="B91" t="s">
        <v>24</v>
      </c>
      <c r="C91" t="s">
        <v>77</v>
      </c>
      <c r="D91" t="s">
        <v>26</v>
      </c>
      <c r="E91" t="s">
        <v>246</v>
      </c>
      <c r="F91" t="s">
        <v>28</v>
      </c>
      <c r="G91" t="s">
        <v>45</v>
      </c>
      <c r="H91" t="s">
        <v>46</v>
      </c>
      <c r="I91" t="s">
        <v>95</v>
      </c>
      <c r="L91" t="s">
        <v>205</v>
      </c>
      <c r="M91">
        <v>7396</v>
      </c>
      <c r="N91" t="s">
        <v>32</v>
      </c>
      <c r="O91" t="s">
        <v>32</v>
      </c>
      <c r="P91">
        <v>45613</v>
      </c>
      <c r="Q91">
        <v>45624</v>
      </c>
      <c r="R91">
        <v>45622</v>
      </c>
      <c r="S91" t="s">
        <v>92</v>
      </c>
      <c r="T91" t="s">
        <v>34</v>
      </c>
      <c r="U91">
        <v>11</v>
      </c>
      <c r="V91">
        <v>9</v>
      </c>
      <c r="W91" t="s">
        <v>57</v>
      </c>
    </row>
    <row r="92" spans="1:23" x14ac:dyDescent="0.25">
      <c r="A92" t="s">
        <v>190</v>
      </c>
      <c r="B92" t="s">
        <v>24</v>
      </c>
      <c r="C92" t="s">
        <v>77</v>
      </c>
      <c r="D92" t="s">
        <v>26</v>
      </c>
      <c r="E92" t="s">
        <v>27</v>
      </c>
      <c r="F92" t="s">
        <v>28</v>
      </c>
      <c r="G92" t="s">
        <v>45</v>
      </c>
      <c r="H92" t="s">
        <v>46</v>
      </c>
      <c r="I92" t="s">
        <v>47</v>
      </c>
      <c r="L92" t="s">
        <v>205</v>
      </c>
      <c r="M92">
        <v>13439</v>
      </c>
      <c r="N92" t="s">
        <v>247</v>
      </c>
      <c r="O92" t="s">
        <v>41</v>
      </c>
      <c r="P92">
        <v>45616</v>
      </c>
      <c r="Q92">
        <v>45631</v>
      </c>
      <c r="R92">
        <v>45622</v>
      </c>
      <c r="S92" t="s">
        <v>92</v>
      </c>
      <c r="T92" t="s">
        <v>34</v>
      </c>
      <c r="U92">
        <v>15</v>
      </c>
      <c r="V92">
        <v>6</v>
      </c>
      <c r="W92" t="s">
        <v>57</v>
      </c>
    </row>
    <row r="93" spans="1:23" x14ac:dyDescent="0.25">
      <c r="A93" t="s">
        <v>80</v>
      </c>
      <c r="B93" t="s">
        <v>65</v>
      </c>
      <c r="C93" t="s">
        <v>81</v>
      </c>
      <c r="D93" t="s">
        <v>72</v>
      </c>
      <c r="E93" t="s">
        <v>80</v>
      </c>
      <c r="F93" t="s">
        <v>28</v>
      </c>
      <c r="G93" t="s">
        <v>78</v>
      </c>
      <c r="H93" t="s">
        <v>248</v>
      </c>
      <c r="I93" t="s">
        <v>242</v>
      </c>
      <c r="L93" t="s">
        <v>205</v>
      </c>
      <c r="M93">
        <v>5100</v>
      </c>
      <c r="N93" t="s">
        <v>135</v>
      </c>
      <c r="O93" t="s">
        <v>135</v>
      </c>
      <c r="P93">
        <v>45610</v>
      </c>
      <c r="Q93">
        <v>45634</v>
      </c>
      <c r="T93" t="s">
        <v>90</v>
      </c>
      <c r="U93">
        <v>24</v>
      </c>
      <c r="V93">
        <v>0</v>
      </c>
    </row>
    <row r="94" spans="1:23" x14ac:dyDescent="0.25">
      <c r="A94" t="s">
        <v>249</v>
      </c>
      <c r="B94" t="s">
        <v>24</v>
      </c>
      <c r="C94" t="s">
        <v>250</v>
      </c>
      <c r="D94" t="s">
        <v>72</v>
      </c>
      <c r="E94" t="s">
        <v>27</v>
      </c>
      <c r="F94" t="s">
        <v>28</v>
      </c>
      <c r="G94" t="s">
        <v>78</v>
      </c>
      <c r="H94" t="s">
        <v>125</v>
      </c>
      <c r="I94" t="s">
        <v>108</v>
      </c>
      <c r="L94" t="s">
        <v>205</v>
      </c>
      <c r="M94">
        <v>10885</v>
      </c>
      <c r="N94" t="s">
        <v>251</v>
      </c>
      <c r="O94" t="s">
        <v>41</v>
      </c>
      <c r="P94">
        <v>45620</v>
      </c>
      <c r="Q94">
        <v>45631</v>
      </c>
      <c r="R94">
        <v>45636</v>
      </c>
      <c r="S94" t="s">
        <v>92</v>
      </c>
      <c r="T94" t="s">
        <v>34</v>
      </c>
      <c r="U94">
        <v>11</v>
      </c>
      <c r="V94">
        <v>16</v>
      </c>
      <c r="W94" t="s">
        <v>69</v>
      </c>
    </row>
    <row r="95" spans="1:23" x14ac:dyDescent="0.25">
      <c r="A95" t="s">
        <v>80</v>
      </c>
      <c r="B95" t="s">
        <v>65</v>
      </c>
      <c r="C95" t="s">
        <v>81</v>
      </c>
      <c r="D95" t="s">
        <v>72</v>
      </c>
      <c r="E95" t="s">
        <v>80</v>
      </c>
      <c r="F95" t="s">
        <v>231</v>
      </c>
      <c r="G95" t="s">
        <v>252</v>
      </c>
      <c r="H95" t="s">
        <v>252</v>
      </c>
      <c r="L95" t="s">
        <v>205</v>
      </c>
      <c r="M95">
        <v>6000</v>
      </c>
      <c r="N95" t="s">
        <v>253</v>
      </c>
      <c r="O95" t="s">
        <v>41</v>
      </c>
      <c r="P95">
        <v>45615</v>
      </c>
      <c r="Q95">
        <v>45631</v>
      </c>
      <c r="R95">
        <v>45616</v>
      </c>
      <c r="S95" t="s">
        <v>254</v>
      </c>
      <c r="T95" t="s">
        <v>34</v>
      </c>
      <c r="U95">
        <v>16</v>
      </c>
      <c r="V95">
        <v>1</v>
      </c>
      <c r="W95" t="s">
        <v>57</v>
      </c>
    </row>
    <row r="96" spans="1:23" x14ac:dyDescent="0.25">
      <c r="A96" t="s">
        <v>255</v>
      </c>
      <c r="B96" t="s">
        <v>24</v>
      </c>
      <c r="C96" t="s">
        <v>256</v>
      </c>
      <c r="D96" t="s">
        <v>37</v>
      </c>
      <c r="E96" t="s">
        <v>27</v>
      </c>
      <c r="F96" t="s">
        <v>257</v>
      </c>
      <c r="H96" t="s">
        <v>258</v>
      </c>
      <c r="L96" t="s">
        <v>205</v>
      </c>
      <c r="M96">
        <v>8449</v>
      </c>
      <c r="N96" t="s">
        <v>32</v>
      </c>
      <c r="O96" t="s">
        <v>32</v>
      </c>
      <c r="P96">
        <v>45623</v>
      </c>
      <c r="Q96">
        <v>45636</v>
      </c>
      <c r="R96">
        <v>45649</v>
      </c>
      <c r="S96" t="s">
        <v>33</v>
      </c>
      <c r="T96" t="s">
        <v>34</v>
      </c>
      <c r="U96">
        <v>13</v>
      </c>
      <c r="V96">
        <v>26</v>
      </c>
      <c r="W96" t="s">
        <v>69</v>
      </c>
    </row>
    <row r="97" spans="1:23" x14ac:dyDescent="0.25">
      <c r="A97" t="s">
        <v>259</v>
      </c>
      <c r="B97" t="s">
        <v>24</v>
      </c>
      <c r="C97" t="s">
        <v>260</v>
      </c>
      <c r="D97" t="s">
        <v>37</v>
      </c>
      <c r="E97" t="s">
        <v>27</v>
      </c>
      <c r="F97" t="s">
        <v>28</v>
      </c>
      <c r="G97" t="s">
        <v>45</v>
      </c>
      <c r="H97" t="s">
        <v>46</v>
      </c>
      <c r="I97" t="s">
        <v>60</v>
      </c>
      <c r="L97" t="s">
        <v>205</v>
      </c>
      <c r="M97">
        <v>14905</v>
      </c>
      <c r="N97" t="s">
        <v>32</v>
      </c>
      <c r="O97" t="s">
        <v>32</v>
      </c>
      <c r="P97">
        <v>45625</v>
      </c>
      <c r="Q97">
        <v>45641</v>
      </c>
      <c r="S97" t="s">
        <v>261</v>
      </c>
      <c r="T97" t="s">
        <v>90</v>
      </c>
      <c r="U97">
        <v>16</v>
      </c>
      <c r="V97">
        <v>0</v>
      </c>
    </row>
    <row r="98" spans="1:23" x14ac:dyDescent="0.25">
      <c r="A98" t="s">
        <v>262</v>
      </c>
      <c r="B98" t="s">
        <v>24</v>
      </c>
      <c r="C98" t="s">
        <v>143</v>
      </c>
      <c r="D98" t="s">
        <v>72</v>
      </c>
      <c r="E98" t="s">
        <v>27</v>
      </c>
      <c r="F98" t="s">
        <v>28</v>
      </c>
      <c r="G98" t="s">
        <v>45</v>
      </c>
      <c r="H98" t="s">
        <v>59</v>
      </c>
      <c r="I98" t="s">
        <v>95</v>
      </c>
      <c r="L98" t="s">
        <v>205</v>
      </c>
      <c r="M98">
        <v>12099</v>
      </c>
      <c r="N98" t="s">
        <v>32</v>
      </c>
      <c r="O98" t="s">
        <v>32</v>
      </c>
      <c r="P98">
        <v>45628</v>
      </c>
      <c r="Q98">
        <v>45643</v>
      </c>
      <c r="T98" t="s">
        <v>90</v>
      </c>
      <c r="U98">
        <v>15</v>
      </c>
      <c r="V98">
        <v>0</v>
      </c>
    </row>
    <row r="99" spans="1:23" x14ac:dyDescent="0.25">
      <c r="A99" t="s">
        <v>131</v>
      </c>
      <c r="B99" t="s">
        <v>65</v>
      </c>
      <c r="C99" t="s">
        <v>209</v>
      </c>
      <c r="D99" t="s">
        <v>204</v>
      </c>
      <c r="E99" t="s">
        <v>107</v>
      </c>
      <c r="F99" t="s">
        <v>28</v>
      </c>
      <c r="G99" t="s">
        <v>45</v>
      </c>
      <c r="H99" t="s">
        <v>46</v>
      </c>
      <c r="I99" t="s">
        <v>47</v>
      </c>
      <c r="L99" t="s">
        <v>205</v>
      </c>
      <c r="M99">
        <v>5217</v>
      </c>
      <c r="N99" t="s">
        <v>135</v>
      </c>
      <c r="O99" t="s">
        <v>135</v>
      </c>
      <c r="P99">
        <v>45627</v>
      </c>
      <c r="Q99">
        <v>45640</v>
      </c>
      <c r="R99">
        <v>45636</v>
      </c>
      <c r="S99" t="s">
        <v>92</v>
      </c>
      <c r="T99" t="s">
        <v>34</v>
      </c>
      <c r="U99">
        <v>13</v>
      </c>
      <c r="V99">
        <v>9</v>
      </c>
      <c r="W99" t="s">
        <v>57</v>
      </c>
    </row>
    <row r="100" spans="1:23" x14ac:dyDescent="0.25">
      <c r="A100" t="s">
        <v>263</v>
      </c>
      <c r="B100" t="s">
        <v>24</v>
      </c>
      <c r="C100" t="s">
        <v>264</v>
      </c>
      <c r="D100" t="s">
        <v>72</v>
      </c>
      <c r="E100" t="s">
        <v>64</v>
      </c>
      <c r="F100" t="s">
        <v>28</v>
      </c>
      <c r="G100" t="s">
        <v>45</v>
      </c>
      <c r="H100" t="s">
        <v>46</v>
      </c>
      <c r="L100" t="s">
        <v>205</v>
      </c>
      <c r="M100">
        <v>10445</v>
      </c>
      <c r="N100" t="s">
        <v>265</v>
      </c>
      <c r="O100" t="s">
        <v>41</v>
      </c>
      <c r="P100">
        <v>45635</v>
      </c>
      <c r="Q100">
        <v>45657</v>
      </c>
      <c r="R100">
        <v>45638</v>
      </c>
      <c r="S100" t="s">
        <v>92</v>
      </c>
      <c r="T100" t="s">
        <v>34</v>
      </c>
      <c r="U100">
        <v>22</v>
      </c>
      <c r="V100">
        <v>3</v>
      </c>
      <c r="W100" t="s">
        <v>57</v>
      </c>
    </row>
    <row r="101" spans="1:23" x14ac:dyDescent="0.25">
      <c r="A101" t="s">
        <v>266</v>
      </c>
      <c r="B101" t="s">
        <v>24</v>
      </c>
      <c r="C101" t="s">
        <v>77</v>
      </c>
      <c r="D101" t="s">
        <v>26</v>
      </c>
      <c r="E101" t="s">
        <v>27</v>
      </c>
      <c r="F101" t="s">
        <v>28</v>
      </c>
      <c r="G101" t="s">
        <v>45</v>
      </c>
      <c r="H101" t="s">
        <v>59</v>
      </c>
      <c r="I101" t="s">
        <v>95</v>
      </c>
      <c r="L101" t="s">
        <v>205</v>
      </c>
      <c r="M101">
        <v>13099</v>
      </c>
      <c r="N101" t="s">
        <v>267</v>
      </c>
      <c r="O101" t="s">
        <v>41</v>
      </c>
      <c r="P101">
        <v>45638</v>
      </c>
      <c r="Q101">
        <v>45654</v>
      </c>
      <c r="R101">
        <v>45655</v>
      </c>
      <c r="S101" t="s">
        <v>92</v>
      </c>
      <c r="T101" t="s">
        <v>34</v>
      </c>
      <c r="U101">
        <v>16</v>
      </c>
      <c r="V101">
        <v>17</v>
      </c>
      <c r="W101" t="s">
        <v>69</v>
      </c>
    </row>
    <row r="102" spans="1:23" x14ac:dyDescent="0.25">
      <c r="A102" t="s">
        <v>268</v>
      </c>
      <c r="B102" t="s">
        <v>24</v>
      </c>
      <c r="C102" t="s">
        <v>207</v>
      </c>
      <c r="D102" t="s">
        <v>167</v>
      </c>
      <c r="E102" t="s">
        <v>27</v>
      </c>
      <c r="F102" t="s">
        <v>28</v>
      </c>
      <c r="G102" t="s">
        <v>29</v>
      </c>
      <c r="J102" t="s">
        <v>38</v>
      </c>
      <c r="K102" t="s">
        <v>38</v>
      </c>
      <c r="L102" t="s">
        <v>269</v>
      </c>
      <c r="M102">
        <v>9399</v>
      </c>
      <c r="N102" t="s">
        <v>32</v>
      </c>
      <c r="O102" t="s">
        <v>32</v>
      </c>
      <c r="P102">
        <v>45549</v>
      </c>
      <c r="Q102">
        <v>45557</v>
      </c>
      <c r="S102" t="s">
        <v>51</v>
      </c>
      <c r="T102" t="s">
        <v>51</v>
      </c>
      <c r="U102">
        <v>8</v>
      </c>
      <c r="V102">
        <v>0</v>
      </c>
    </row>
    <row r="103" spans="1:23" x14ac:dyDescent="0.25">
      <c r="A103" t="s">
        <v>270</v>
      </c>
      <c r="B103" t="s">
        <v>24</v>
      </c>
      <c r="C103" t="s">
        <v>77</v>
      </c>
      <c r="D103" t="s">
        <v>26</v>
      </c>
      <c r="E103" t="s">
        <v>27</v>
      </c>
      <c r="F103" t="s">
        <v>28</v>
      </c>
      <c r="G103" t="s">
        <v>29</v>
      </c>
      <c r="J103" t="s">
        <v>38</v>
      </c>
      <c r="K103" t="s">
        <v>38</v>
      </c>
      <c r="L103" t="s">
        <v>271</v>
      </c>
      <c r="M103">
        <v>9399</v>
      </c>
      <c r="N103" t="s">
        <v>32</v>
      </c>
      <c r="O103" t="s">
        <v>32</v>
      </c>
      <c r="P103">
        <v>45548</v>
      </c>
      <c r="Q103">
        <v>45559</v>
      </c>
      <c r="R103">
        <v>45565</v>
      </c>
      <c r="S103" t="s">
        <v>33</v>
      </c>
      <c r="T103" t="s">
        <v>34</v>
      </c>
      <c r="U103">
        <v>11</v>
      </c>
      <c r="V103">
        <v>17</v>
      </c>
      <c r="W103" t="s">
        <v>69</v>
      </c>
    </row>
    <row r="104" spans="1:23" x14ac:dyDescent="0.25">
      <c r="A104" t="s">
        <v>272</v>
      </c>
      <c r="B104" t="s">
        <v>24</v>
      </c>
      <c r="C104" t="s">
        <v>115</v>
      </c>
      <c r="D104" t="s">
        <v>72</v>
      </c>
      <c r="E104" t="s">
        <v>27</v>
      </c>
      <c r="F104" t="s">
        <v>28</v>
      </c>
      <c r="G104" t="s">
        <v>78</v>
      </c>
      <c r="H104" t="s">
        <v>273</v>
      </c>
      <c r="I104" t="s">
        <v>168</v>
      </c>
      <c r="J104" t="s">
        <v>61</v>
      </c>
      <c r="K104" t="s">
        <v>61</v>
      </c>
      <c r="L104" t="s">
        <v>274</v>
      </c>
      <c r="M104">
        <v>9528</v>
      </c>
      <c r="N104" t="s">
        <v>32</v>
      </c>
      <c r="O104" t="s">
        <v>32</v>
      </c>
      <c r="P104">
        <v>45548</v>
      </c>
      <c r="Q104">
        <v>45561</v>
      </c>
      <c r="R104">
        <v>45568</v>
      </c>
      <c r="S104" t="s">
        <v>92</v>
      </c>
      <c r="T104" t="s">
        <v>34</v>
      </c>
      <c r="U104">
        <v>13</v>
      </c>
      <c r="V104">
        <v>20</v>
      </c>
      <c r="W104" t="s">
        <v>69</v>
      </c>
    </row>
    <row r="105" spans="1:23" x14ac:dyDescent="0.25">
      <c r="A105" t="s">
        <v>275</v>
      </c>
      <c r="B105" t="s">
        <v>24</v>
      </c>
      <c r="C105" t="s">
        <v>115</v>
      </c>
      <c r="D105" t="s">
        <v>72</v>
      </c>
      <c r="E105" t="s">
        <v>27</v>
      </c>
      <c r="F105" t="s">
        <v>66</v>
      </c>
      <c r="G105" t="s">
        <v>67</v>
      </c>
      <c r="K105" t="s">
        <v>61</v>
      </c>
      <c r="L105" t="s">
        <v>276</v>
      </c>
      <c r="M105">
        <v>21999</v>
      </c>
      <c r="N105" t="s">
        <v>32</v>
      </c>
      <c r="O105" t="s">
        <v>32</v>
      </c>
      <c r="P105">
        <v>45548</v>
      </c>
      <c r="Q105">
        <v>45565</v>
      </c>
      <c r="S105" t="s">
        <v>92</v>
      </c>
      <c r="T105" t="s">
        <v>34</v>
      </c>
      <c r="U105">
        <v>17</v>
      </c>
      <c r="V105">
        <v>0</v>
      </c>
    </row>
    <row r="106" spans="1:23" x14ac:dyDescent="0.25">
      <c r="A106" t="s">
        <v>277</v>
      </c>
      <c r="B106" t="s">
        <v>24</v>
      </c>
      <c r="C106" t="s">
        <v>77</v>
      </c>
      <c r="D106" t="s">
        <v>26</v>
      </c>
      <c r="E106" t="s">
        <v>27</v>
      </c>
      <c r="F106" t="s">
        <v>28</v>
      </c>
      <c r="G106" t="s">
        <v>29</v>
      </c>
      <c r="J106" t="s">
        <v>38</v>
      </c>
      <c r="K106" t="s">
        <v>38</v>
      </c>
      <c r="L106" t="s">
        <v>278</v>
      </c>
      <c r="M106">
        <v>9399</v>
      </c>
      <c r="N106" t="s">
        <v>32</v>
      </c>
      <c r="O106" t="s">
        <v>32</v>
      </c>
      <c r="P106">
        <v>45549</v>
      </c>
      <c r="Q106">
        <v>45594</v>
      </c>
      <c r="R106">
        <v>45580</v>
      </c>
      <c r="S106" t="s">
        <v>92</v>
      </c>
      <c r="T106" t="s">
        <v>34</v>
      </c>
      <c r="U106">
        <v>45</v>
      </c>
      <c r="V106">
        <v>31</v>
      </c>
      <c r="W106" t="s">
        <v>57</v>
      </c>
    </row>
    <row r="107" spans="1:23" x14ac:dyDescent="0.25">
      <c r="A107" t="s">
        <v>279</v>
      </c>
      <c r="B107" t="s">
        <v>24</v>
      </c>
      <c r="C107" t="s">
        <v>53</v>
      </c>
      <c r="D107" t="s">
        <v>54</v>
      </c>
      <c r="E107" t="s">
        <v>27</v>
      </c>
      <c r="F107" t="s">
        <v>66</v>
      </c>
      <c r="G107" t="s">
        <v>67</v>
      </c>
      <c r="K107" t="s">
        <v>61</v>
      </c>
      <c r="L107" t="s">
        <v>276</v>
      </c>
      <c r="M107">
        <v>21999</v>
      </c>
      <c r="N107" t="s">
        <v>32</v>
      </c>
      <c r="O107" t="s">
        <v>32</v>
      </c>
      <c r="P107">
        <v>45549</v>
      </c>
      <c r="Q107">
        <v>45616</v>
      </c>
      <c r="T107" t="s">
        <v>90</v>
      </c>
      <c r="U107">
        <v>67</v>
      </c>
      <c r="V107">
        <v>0</v>
      </c>
    </row>
    <row r="108" spans="1:23" x14ac:dyDescent="0.25">
      <c r="A108" t="s">
        <v>280</v>
      </c>
      <c r="B108" t="s">
        <v>24</v>
      </c>
      <c r="C108" t="s">
        <v>115</v>
      </c>
      <c r="D108" t="s">
        <v>72</v>
      </c>
      <c r="E108" t="s">
        <v>27</v>
      </c>
      <c r="F108" t="s">
        <v>66</v>
      </c>
      <c r="G108" t="s">
        <v>67</v>
      </c>
      <c r="K108" t="s">
        <v>61</v>
      </c>
      <c r="L108" t="s">
        <v>276</v>
      </c>
      <c r="M108">
        <v>21999</v>
      </c>
      <c r="N108" t="s">
        <v>32</v>
      </c>
      <c r="O108" t="s">
        <v>32</v>
      </c>
      <c r="P108">
        <v>45549</v>
      </c>
      <c r="Q108">
        <v>45616</v>
      </c>
      <c r="R108">
        <v>45574</v>
      </c>
      <c r="S108" t="s">
        <v>92</v>
      </c>
      <c r="T108" t="s">
        <v>34</v>
      </c>
      <c r="U108">
        <v>67</v>
      </c>
      <c r="V108">
        <v>25</v>
      </c>
      <c r="W108" t="s">
        <v>57</v>
      </c>
    </row>
    <row r="109" spans="1:23" x14ac:dyDescent="0.25">
      <c r="A109" t="s">
        <v>281</v>
      </c>
      <c r="B109" t="s">
        <v>24</v>
      </c>
      <c r="C109" t="s">
        <v>282</v>
      </c>
      <c r="D109" t="s">
        <v>204</v>
      </c>
      <c r="E109" t="s">
        <v>27</v>
      </c>
      <c r="F109" t="s">
        <v>66</v>
      </c>
      <c r="G109" t="s">
        <v>67</v>
      </c>
      <c r="K109" t="s">
        <v>61</v>
      </c>
      <c r="L109" t="s">
        <v>205</v>
      </c>
      <c r="M109">
        <v>21999</v>
      </c>
      <c r="N109" t="s">
        <v>32</v>
      </c>
      <c r="O109" t="s">
        <v>32</v>
      </c>
      <c r="P109">
        <v>45550</v>
      </c>
      <c r="Q109">
        <v>45616</v>
      </c>
      <c r="R109">
        <v>45584</v>
      </c>
      <c r="S109" t="s">
        <v>92</v>
      </c>
      <c r="T109" t="s">
        <v>34</v>
      </c>
      <c r="U109">
        <v>66</v>
      </c>
      <c r="V109">
        <v>34</v>
      </c>
      <c r="W109" t="s">
        <v>57</v>
      </c>
    </row>
    <row r="110" spans="1:23" x14ac:dyDescent="0.25">
      <c r="A110" t="s">
        <v>64</v>
      </c>
      <c r="B110" t="s">
        <v>65</v>
      </c>
      <c r="C110" t="s">
        <v>283</v>
      </c>
      <c r="D110" t="s">
        <v>72</v>
      </c>
      <c r="E110" t="s">
        <v>64</v>
      </c>
      <c r="F110" t="s">
        <v>231</v>
      </c>
      <c r="G110" t="s">
        <v>232</v>
      </c>
      <c r="K110" t="s">
        <v>284</v>
      </c>
      <c r="L110" t="s">
        <v>205</v>
      </c>
      <c r="M110">
        <v>14950</v>
      </c>
      <c r="N110" t="s">
        <v>32</v>
      </c>
      <c r="O110" t="s">
        <v>32</v>
      </c>
      <c r="P110">
        <v>45561</v>
      </c>
      <c r="Q110">
        <v>45579</v>
      </c>
      <c r="R110">
        <v>45578</v>
      </c>
      <c r="S110" t="s">
        <v>92</v>
      </c>
      <c r="T110" t="s">
        <v>34</v>
      </c>
      <c r="U110">
        <v>18</v>
      </c>
      <c r="V110">
        <v>17</v>
      </c>
      <c r="W110" t="s">
        <v>57</v>
      </c>
    </row>
    <row r="111" spans="1:23" x14ac:dyDescent="0.25">
      <c r="A111" t="s">
        <v>216</v>
      </c>
      <c r="B111" t="s">
        <v>24</v>
      </c>
      <c r="C111" t="s">
        <v>167</v>
      </c>
      <c r="D111" t="s">
        <v>167</v>
      </c>
      <c r="E111" t="s">
        <v>167</v>
      </c>
      <c r="F111" t="s">
        <v>28</v>
      </c>
      <c r="G111" t="s">
        <v>29</v>
      </c>
      <c r="K111" t="s">
        <v>285</v>
      </c>
      <c r="L111" t="s">
        <v>205</v>
      </c>
      <c r="M111">
        <v>4600</v>
      </c>
      <c r="P111">
        <v>45566</v>
      </c>
      <c r="Q111">
        <v>45574</v>
      </c>
      <c r="R111">
        <v>45574</v>
      </c>
      <c r="S111" t="s">
        <v>218</v>
      </c>
      <c r="T111" t="s">
        <v>34</v>
      </c>
      <c r="U111">
        <v>8</v>
      </c>
      <c r="V111">
        <v>8</v>
      </c>
      <c r="W111" t="s">
        <v>57</v>
      </c>
    </row>
    <row r="112" spans="1:23" x14ac:dyDescent="0.25">
      <c r="A112" t="s">
        <v>216</v>
      </c>
      <c r="B112" t="s">
        <v>24</v>
      </c>
      <c r="C112" t="s">
        <v>167</v>
      </c>
      <c r="D112" t="s">
        <v>167</v>
      </c>
      <c r="E112" t="s">
        <v>167</v>
      </c>
      <c r="F112" t="s">
        <v>231</v>
      </c>
      <c r="G112" t="s">
        <v>286</v>
      </c>
      <c r="K112" t="s">
        <v>287</v>
      </c>
      <c r="L112" t="s">
        <v>205</v>
      </c>
      <c r="M112">
        <v>10000</v>
      </c>
      <c r="P112">
        <v>45566</v>
      </c>
      <c r="Q112">
        <v>45574</v>
      </c>
      <c r="R112">
        <v>45574</v>
      </c>
      <c r="S112" t="s">
        <v>218</v>
      </c>
      <c r="T112" t="s">
        <v>34</v>
      </c>
      <c r="U112">
        <v>8</v>
      </c>
      <c r="V112">
        <v>8</v>
      </c>
      <c r="W112" t="s">
        <v>57</v>
      </c>
    </row>
    <row r="113" spans="1:23" x14ac:dyDescent="0.25">
      <c r="A113" t="s">
        <v>216</v>
      </c>
      <c r="B113" t="s">
        <v>24</v>
      </c>
      <c r="C113" t="s">
        <v>167</v>
      </c>
      <c r="D113" t="s">
        <v>167</v>
      </c>
      <c r="E113" t="s">
        <v>167</v>
      </c>
      <c r="F113" t="s">
        <v>288</v>
      </c>
      <c r="K113" t="s">
        <v>284</v>
      </c>
      <c r="L113" t="s">
        <v>205</v>
      </c>
      <c r="M113">
        <v>10000</v>
      </c>
      <c r="P113">
        <v>45566</v>
      </c>
      <c r="Q113">
        <v>45574</v>
      </c>
      <c r="R113">
        <v>45574</v>
      </c>
      <c r="S113" t="s">
        <v>218</v>
      </c>
      <c r="T113" t="s">
        <v>34</v>
      </c>
      <c r="U113">
        <v>8</v>
      </c>
      <c r="V113">
        <v>8</v>
      </c>
      <c r="W113" t="s">
        <v>57</v>
      </c>
    </row>
    <row r="114" spans="1:23" x14ac:dyDescent="0.25">
      <c r="A114" t="s">
        <v>289</v>
      </c>
      <c r="B114" t="s">
        <v>24</v>
      </c>
      <c r="C114" t="s">
        <v>290</v>
      </c>
      <c r="D114" t="s">
        <v>72</v>
      </c>
      <c r="E114" t="s">
        <v>27</v>
      </c>
      <c r="F114" t="s">
        <v>28</v>
      </c>
      <c r="G114" t="s">
        <v>29</v>
      </c>
      <c r="K114" t="s">
        <v>38</v>
      </c>
      <c r="L114" t="s">
        <v>205</v>
      </c>
      <c r="M114">
        <v>8899</v>
      </c>
      <c r="N114" t="s">
        <v>291</v>
      </c>
      <c r="O114" t="s">
        <v>41</v>
      </c>
      <c r="P114">
        <v>45568</v>
      </c>
      <c r="Q114">
        <v>45613</v>
      </c>
      <c r="T114" t="s">
        <v>90</v>
      </c>
      <c r="U114">
        <v>45</v>
      </c>
      <c r="V114">
        <v>0</v>
      </c>
    </row>
    <row r="115" spans="1:23" x14ac:dyDescent="0.25">
      <c r="A115" t="s">
        <v>64</v>
      </c>
      <c r="B115" t="s">
        <v>65</v>
      </c>
      <c r="C115" t="s">
        <v>292</v>
      </c>
      <c r="D115" t="s">
        <v>204</v>
      </c>
      <c r="E115" t="s">
        <v>64</v>
      </c>
      <c r="F115" t="s">
        <v>231</v>
      </c>
      <c r="G115" t="s">
        <v>232</v>
      </c>
      <c r="K115" t="s">
        <v>293</v>
      </c>
      <c r="L115" t="s">
        <v>205</v>
      </c>
      <c r="M115">
        <v>14550</v>
      </c>
      <c r="N115" t="s">
        <v>32</v>
      </c>
      <c r="O115" t="s">
        <v>32</v>
      </c>
      <c r="P115">
        <v>45573</v>
      </c>
      <c r="Q115">
        <v>45594</v>
      </c>
      <c r="R115">
        <v>45595</v>
      </c>
      <c r="S115" t="s">
        <v>92</v>
      </c>
      <c r="T115" t="s">
        <v>34</v>
      </c>
      <c r="U115">
        <v>21</v>
      </c>
      <c r="V115">
        <v>22</v>
      </c>
      <c r="W115" t="s">
        <v>69</v>
      </c>
    </row>
    <row r="116" spans="1:23" x14ac:dyDescent="0.25">
      <c r="A116" t="s">
        <v>64</v>
      </c>
      <c r="B116" t="s">
        <v>65</v>
      </c>
      <c r="C116" t="s">
        <v>294</v>
      </c>
      <c r="D116" t="s">
        <v>26</v>
      </c>
      <c r="E116" t="s">
        <v>64</v>
      </c>
      <c r="F116" t="s">
        <v>66</v>
      </c>
      <c r="G116" t="s">
        <v>232</v>
      </c>
      <c r="K116" t="s">
        <v>293</v>
      </c>
      <c r="L116" t="s">
        <v>205</v>
      </c>
      <c r="M116">
        <v>14550</v>
      </c>
      <c r="N116" t="s">
        <v>32</v>
      </c>
      <c r="O116" t="s">
        <v>32</v>
      </c>
      <c r="P116">
        <v>45572</v>
      </c>
      <c r="Q116">
        <v>45594</v>
      </c>
      <c r="R116">
        <v>45580</v>
      </c>
      <c r="S116" t="s">
        <v>92</v>
      </c>
      <c r="T116" t="s">
        <v>34</v>
      </c>
      <c r="U116">
        <v>22</v>
      </c>
      <c r="V116">
        <v>8</v>
      </c>
      <c r="W116" t="s">
        <v>57</v>
      </c>
    </row>
    <row r="117" spans="1:23" x14ac:dyDescent="0.25">
      <c r="A117" t="s">
        <v>64</v>
      </c>
      <c r="B117" t="s">
        <v>65</v>
      </c>
      <c r="E117" t="s">
        <v>64</v>
      </c>
      <c r="F117" t="s">
        <v>231</v>
      </c>
      <c r="G117" t="s">
        <v>232</v>
      </c>
      <c r="K117" t="s">
        <v>284</v>
      </c>
      <c r="L117" t="s">
        <v>205</v>
      </c>
      <c r="M117">
        <v>14550</v>
      </c>
      <c r="N117" t="s">
        <v>295</v>
      </c>
      <c r="O117" t="s">
        <v>41</v>
      </c>
      <c r="P117">
        <v>45575</v>
      </c>
      <c r="Q117">
        <v>45596</v>
      </c>
      <c r="R117">
        <v>45598</v>
      </c>
      <c r="S117" t="s">
        <v>92</v>
      </c>
      <c r="T117" t="s">
        <v>34</v>
      </c>
      <c r="U117">
        <v>21</v>
      </c>
      <c r="V117">
        <v>23</v>
      </c>
      <c r="W117" t="s">
        <v>69</v>
      </c>
    </row>
    <row r="118" spans="1:23" x14ac:dyDescent="0.25">
      <c r="A118" t="s">
        <v>296</v>
      </c>
      <c r="B118" t="s">
        <v>24</v>
      </c>
      <c r="C118" t="s">
        <v>297</v>
      </c>
      <c r="D118" t="s">
        <v>204</v>
      </c>
      <c r="E118" t="s">
        <v>240</v>
      </c>
      <c r="F118" t="s">
        <v>28</v>
      </c>
      <c r="G118" t="s">
        <v>78</v>
      </c>
      <c r="H118" t="s">
        <v>298</v>
      </c>
      <c r="I118" t="s">
        <v>168</v>
      </c>
      <c r="K118" t="s">
        <v>299</v>
      </c>
      <c r="L118" t="s">
        <v>205</v>
      </c>
      <c r="M118">
        <v>5135</v>
      </c>
      <c r="N118" t="s">
        <v>32</v>
      </c>
      <c r="O118" t="s">
        <v>32</v>
      </c>
      <c r="P118">
        <v>45585</v>
      </c>
      <c r="Q118">
        <v>45613</v>
      </c>
      <c r="R118">
        <v>45610</v>
      </c>
      <c r="S118" t="s">
        <v>92</v>
      </c>
      <c r="T118" t="s">
        <v>34</v>
      </c>
      <c r="U118">
        <v>28</v>
      </c>
      <c r="V118">
        <v>25</v>
      </c>
      <c r="W118" t="s">
        <v>57</v>
      </c>
    </row>
    <row r="119" spans="1:23" x14ac:dyDescent="0.25">
      <c r="A119" t="s">
        <v>64</v>
      </c>
      <c r="B119" t="s">
        <v>65</v>
      </c>
      <c r="C119" t="s">
        <v>292</v>
      </c>
      <c r="D119" t="s">
        <v>204</v>
      </c>
      <c r="E119" t="s">
        <v>64</v>
      </c>
      <c r="F119" t="s">
        <v>231</v>
      </c>
      <c r="G119" t="s">
        <v>232</v>
      </c>
      <c r="H119" t="s">
        <v>300</v>
      </c>
      <c r="K119" t="s">
        <v>293</v>
      </c>
      <c r="L119" t="s">
        <v>205</v>
      </c>
      <c r="M119">
        <v>15872</v>
      </c>
      <c r="N119" t="s">
        <v>32</v>
      </c>
      <c r="O119" t="s">
        <v>32</v>
      </c>
      <c r="P119">
        <v>45604</v>
      </c>
      <c r="Q119">
        <v>45363</v>
      </c>
      <c r="R119">
        <v>45610</v>
      </c>
      <c r="S119" t="s">
        <v>92</v>
      </c>
      <c r="T119" t="s">
        <v>34</v>
      </c>
      <c r="U119">
        <v>-241</v>
      </c>
      <c r="V119">
        <v>6</v>
      </c>
      <c r="W119" t="s">
        <v>69</v>
      </c>
    </row>
    <row r="120" spans="1:23" x14ac:dyDescent="0.25">
      <c r="A120" t="s">
        <v>301</v>
      </c>
      <c r="B120" t="s">
        <v>24</v>
      </c>
      <c r="C120" t="s">
        <v>94</v>
      </c>
      <c r="D120" t="s">
        <v>72</v>
      </c>
      <c r="E120" t="s">
        <v>73</v>
      </c>
      <c r="F120" t="s">
        <v>28</v>
      </c>
      <c r="G120" t="s">
        <v>78</v>
      </c>
      <c r="H120" t="s">
        <v>273</v>
      </c>
      <c r="I120" t="s">
        <v>242</v>
      </c>
      <c r="K120" t="s">
        <v>30</v>
      </c>
      <c r="L120" t="s">
        <v>205</v>
      </c>
      <c r="M120">
        <v>6000</v>
      </c>
      <c r="N120" t="s">
        <v>302</v>
      </c>
      <c r="O120" t="s">
        <v>41</v>
      </c>
      <c r="P120">
        <v>45618</v>
      </c>
      <c r="Q120">
        <v>45628</v>
      </c>
      <c r="R120">
        <v>45623</v>
      </c>
      <c r="S120" t="s">
        <v>92</v>
      </c>
      <c r="T120" t="s">
        <v>34</v>
      </c>
      <c r="U120">
        <v>10</v>
      </c>
      <c r="V120">
        <v>5</v>
      </c>
      <c r="W120" t="s">
        <v>57</v>
      </c>
    </row>
    <row r="121" spans="1:23" x14ac:dyDescent="0.25">
      <c r="A121" t="s">
        <v>303</v>
      </c>
      <c r="B121" t="s">
        <v>24</v>
      </c>
      <c r="C121" t="s">
        <v>112</v>
      </c>
      <c r="D121" t="s">
        <v>72</v>
      </c>
      <c r="E121" t="s">
        <v>27</v>
      </c>
      <c r="F121" t="s">
        <v>257</v>
      </c>
      <c r="G121" t="s">
        <v>304</v>
      </c>
      <c r="H121" t="s">
        <v>305</v>
      </c>
      <c r="K121" t="s">
        <v>306</v>
      </c>
      <c r="L121" t="s">
        <v>205</v>
      </c>
      <c r="M121">
        <v>10249</v>
      </c>
      <c r="N121" t="s">
        <v>307</v>
      </c>
      <c r="O121" t="s">
        <v>41</v>
      </c>
      <c r="P121">
        <v>45623</v>
      </c>
      <c r="Q121">
        <v>45636</v>
      </c>
      <c r="R121">
        <v>45645</v>
      </c>
      <c r="S121" t="s">
        <v>92</v>
      </c>
      <c r="T121" t="s">
        <v>34</v>
      </c>
      <c r="U121">
        <v>13</v>
      </c>
      <c r="V121">
        <v>22</v>
      </c>
      <c r="W121" t="s">
        <v>69</v>
      </c>
    </row>
    <row r="122" spans="1:23" x14ac:dyDescent="0.25">
      <c r="A122" t="s">
        <v>308</v>
      </c>
      <c r="B122" t="s">
        <v>24</v>
      </c>
      <c r="C122" t="s">
        <v>115</v>
      </c>
      <c r="D122" t="s">
        <v>72</v>
      </c>
      <c r="E122" t="s">
        <v>27</v>
      </c>
      <c r="F122" t="s">
        <v>257</v>
      </c>
      <c r="G122" t="s">
        <v>304</v>
      </c>
      <c r="H122" t="s">
        <v>305</v>
      </c>
      <c r="K122" t="s">
        <v>309</v>
      </c>
      <c r="L122" t="s">
        <v>205</v>
      </c>
      <c r="M122">
        <v>10249</v>
      </c>
      <c r="N122" t="s">
        <v>32</v>
      </c>
      <c r="O122" t="s">
        <v>32</v>
      </c>
      <c r="P122">
        <v>45626</v>
      </c>
      <c r="Q122">
        <v>45638</v>
      </c>
      <c r="T122" t="s">
        <v>90</v>
      </c>
      <c r="U122">
        <v>12</v>
      </c>
      <c r="V122">
        <v>0</v>
      </c>
    </row>
    <row r="123" spans="1:23" x14ac:dyDescent="0.25">
      <c r="A123" t="s">
        <v>308</v>
      </c>
      <c r="B123" t="s">
        <v>24</v>
      </c>
      <c r="C123" t="s">
        <v>115</v>
      </c>
      <c r="D123" t="s">
        <v>72</v>
      </c>
      <c r="E123" t="s">
        <v>27</v>
      </c>
      <c r="F123" t="s">
        <v>257</v>
      </c>
      <c r="G123" t="s">
        <v>140</v>
      </c>
      <c r="K123" t="s">
        <v>309</v>
      </c>
      <c r="L123" t="s">
        <v>205</v>
      </c>
      <c r="M123">
        <v>9029</v>
      </c>
      <c r="N123" t="s">
        <v>32</v>
      </c>
      <c r="O123" t="s">
        <v>32</v>
      </c>
      <c r="P123">
        <v>45626</v>
      </c>
      <c r="Q123">
        <v>45638</v>
      </c>
      <c r="T123" t="s">
        <v>90</v>
      </c>
      <c r="U123">
        <v>12</v>
      </c>
      <c r="V123">
        <v>0</v>
      </c>
    </row>
    <row r="124" spans="1:23" x14ac:dyDescent="0.25">
      <c r="A124" t="s">
        <v>310</v>
      </c>
      <c r="B124" t="s">
        <v>24</v>
      </c>
      <c r="C124" t="s">
        <v>207</v>
      </c>
      <c r="D124" t="s">
        <v>167</v>
      </c>
      <c r="E124" t="s">
        <v>27</v>
      </c>
      <c r="F124" t="s">
        <v>257</v>
      </c>
      <c r="G124" t="s">
        <v>311</v>
      </c>
      <c r="K124" t="s">
        <v>285</v>
      </c>
      <c r="L124" t="s">
        <v>205</v>
      </c>
      <c r="M124">
        <v>9029</v>
      </c>
      <c r="N124" t="s">
        <v>32</v>
      </c>
      <c r="O124" t="s">
        <v>32</v>
      </c>
      <c r="P124">
        <v>45626</v>
      </c>
      <c r="Q124">
        <v>45638</v>
      </c>
      <c r="T124" t="s">
        <v>90</v>
      </c>
      <c r="U124">
        <v>12</v>
      </c>
      <c r="V124">
        <v>0</v>
      </c>
    </row>
    <row r="125" spans="1:23" x14ac:dyDescent="0.25">
      <c r="A125" t="s">
        <v>312</v>
      </c>
      <c r="B125" t="s">
        <v>24</v>
      </c>
      <c r="C125" t="s">
        <v>193</v>
      </c>
      <c r="D125" t="s">
        <v>133</v>
      </c>
      <c r="E125" t="s">
        <v>27</v>
      </c>
      <c r="F125" t="s">
        <v>28</v>
      </c>
      <c r="G125" t="s">
        <v>29</v>
      </c>
      <c r="K125" t="s">
        <v>38</v>
      </c>
      <c r="L125" t="s">
        <v>205</v>
      </c>
      <c r="M125">
        <v>10249</v>
      </c>
      <c r="N125" t="s">
        <v>307</v>
      </c>
      <c r="O125" t="s">
        <v>41</v>
      </c>
      <c r="P125">
        <v>45630</v>
      </c>
      <c r="Q125">
        <v>45640</v>
      </c>
      <c r="R125">
        <v>45645</v>
      </c>
      <c r="S125" t="s">
        <v>92</v>
      </c>
      <c r="T125" t="s">
        <v>34</v>
      </c>
      <c r="U125">
        <v>10</v>
      </c>
      <c r="V125">
        <v>15</v>
      </c>
      <c r="W125" t="s">
        <v>69</v>
      </c>
    </row>
    <row r="126" spans="1:23" x14ac:dyDescent="0.25">
      <c r="A126" t="s">
        <v>313</v>
      </c>
      <c r="B126" t="s">
        <v>24</v>
      </c>
      <c r="C126" t="s">
        <v>115</v>
      </c>
      <c r="D126" t="s">
        <v>72</v>
      </c>
      <c r="E126" t="s">
        <v>27</v>
      </c>
      <c r="F126" t="s">
        <v>257</v>
      </c>
      <c r="G126" t="s">
        <v>304</v>
      </c>
      <c r="H126" t="s">
        <v>305</v>
      </c>
      <c r="K126" t="s">
        <v>309</v>
      </c>
      <c r="L126" t="s">
        <v>205</v>
      </c>
      <c r="M126">
        <v>11199</v>
      </c>
      <c r="N126" t="s">
        <v>314</v>
      </c>
      <c r="O126" t="s">
        <v>41</v>
      </c>
      <c r="P126">
        <v>45638</v>
      </c>
      <c r="Q126">
        <v>45650</v>
      </c>
      <c r="R126">
        <v>45645</v>
      </c>
      <c r="S126" t="s">
        <v>92</v>
      </c>
      <c r="T126" t="s">
        <v>34</v>
      </c>
      <c r="U126">
        <v>12</v>
      </c>
      <c r="V126">
        <v>7</v>
      </c>
      <c r="W126" t="s">
        <v>57</v>
      </c>
    </row>
    <row r="127" spans="1:23" x14ac:dyDescent="0.25">
      <c r="A127" t="s">
        <v>64</v>
      </c>
      <c r="B127" t="s">
        <v>65</v>
      </c>
      <c r="C127" t="s">
        <v>292</v>
      </c>
      <c r="D127" t="s">
        <v>204</v>
      </c>
      <c r="E127" t="s">
        <v>64</v>
      </c>
      <c r="F127" t="s">
        <v>231</v>
      </c>
      <c r="G127" t="s">
        <v>232</v>
      </c>
      <c r="H127" t="s">
        <v>300</v>
      </c>
      <c r="K127" t="s">
        <v>315</v>
      </c>
      <c r="L127" t="s">
        <v>205</v>
      </c>
      <c r="M127">
        <v>8700</v>
      </c>
      <c r="N127" t="s">
        <v>135</v>
      </c>
      <c r="O127" t="s">
        <v>135</v>
      </c>
      <c r="P127">
        <v>45640</v>
      </c>
      <c r="Q127">
        <v>45662</v>
      </c>
      <c r="R127">
        <v>45655</v>
      </c>
      <c r="S127" t="s">
        <v>92</v>
      </c>
      <c r="T127" t="s">
        <v>34</v>
      </c>
      <c r="U127">
        <v>22</v>
      </c>
      <c r="V127">
        <v>15</v>
      </c>
      <c r="W127" t="s">
        <v>57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E'3JH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E'3JH E'3JH 391  'D(J9 391  'D(J9 391  'D(J9 391  'D(J9 391  'D(J9 391  'D(J9 'DEF*, 'DEF*, 'DEF*, DHF  'DEF*, DHF  'DEF*, DHF  'DEF*, -'DG  'D*H5JD -'DG  'D*H5JD -'DG  'D*H5JD 'DE-'A8G 'DE-'A8G 'DE-'A8G #3E  'D9EJD #3E  'D9EJD #3E  'D9EJD FH9  'D9EJD FH9  'D9EJD FH9  'D9EJD 'D5FA 'D5FA 'D5FA #3E  'D9EJD FH9  'D9EJD 'D9FH'F 'DE-'A8G EF5)  'D(J9 'D5FA 'DFH9 'D'3E 'DEB'3 DHF  'DEF*, DHF  'DBE'4 'DEF*, 391  'D(J9 71JBG  'D/A9 FH9  'D/A9 EJ9'/  'D7D( EJ9'/  'D*3DJE *'1J.  'D*3DJE 'DE3&HD  9F  'D*3DJE 'D-'D) E/G  'D*3DJE  ( 'DG/A E/G  'D*3DJE  ( 'DA9DJ -'DG  'D*H5JD 391  'D(J9 391  'D(J9 391  'D(J9 391  'D(J9 391  'D(J9 391  'D(J9 391  'D(J9 391  'D(J9 391  'D(J9 391  'D(J9 391  'D(J9 391  'D(J9 'DEF*, 'DEF*, 'DEF*, 'DEF*, 'DEF*, 'DEF*, DHF  'DEF*, DHF  'DEF*, DHF  'DEF*, DHF  'DEF*, DHF  'DEF*, DHF  'DEF*, -'DG  'D*H5JD -'DG  'D*H5JD -'DG  'D*H5JD -'DG  'D*H5JD -'DG  'D*H5JD -'DG  'D*H5JD 'DE-'A8G 'DE-'A8G 'DE-'A8G 'DE-'A8G 'DE-'A8G 'DE-'A8G #3E  'D9EJD #3E  'D9EJD #3E  'D9EJD #3E  'D9EJD #3E  'D9EJD #3E  'D9EJD FH9  'D9EJD FH9  'D9EJD FH9  'D9EJD FH9  'D9EJD FH9  'D9EJD FH9  'D9EJD 'D5FA 'D5FA 'D5FA 'D5FA 'D5FA 'D5FA 391  'D(J9 391  'D(J9 391  'D(J9 391  'D(J9 391  'D(J9 391  'D(J9 'DEF*, 'DEF*, 'DEF*, DHF  'DEF*, DHF  'DEF*, DHF  'DEF*, -'DG  'D*H5JD -'DG  'D*H5JD -'DG  'D*H5JD 'DE-'A8G 'DE-'A8G 'DE-'A8G #3E  'D9EJD #3E  'D9EJD #3E  'D9EJD FH9  'D9EJD FH9  'D9EJD FH9  'D9EJD 'D5FA 'D5FA 'D5FA #3E  'D9EJD FH9  'D9EJD 'D9FH'F 'DE-'A8G EF5)  'D(J9 'D5FA 'DFH9 'D'3E 'DEB'3 DHF  'DEF*, DHF  'DBE'4 'DEF*, 391  'D(J9 71JBG  'D/A9 FH9  'D/A9 EJ9'/  'D7D( EJ9'/  'D*3DJE *'1J.  'D*3DJE 'DE3&HD  9F  'D*3DJE 'D-'D) E/G  'D*3DJE  ( 'DG/A E/G  'D*3DJE  ( 'DA9DJ -'DG  'D*H5JD 391  'D(J9 391  'D(J9 391  'D(J9 391  'D(J9 391  'D(J9 391  'D(J9 391  'D(J9 391  'D(J9 391  'D(J9 391  'D(J9 391  'D(J9 391  'D(J9 'DEF*, 'DEF*, 'DEF*, 'DEF*, 'DEF*, 'DEF*, DHF  'DEF*, DHF  'DEF*, DHF  'DEF*, DHF  'DEF*, DHF  'DEF*, DHF  'DEF*, -'DG  'D*H5JD -'DG  'D*H5JD -'DG  'D*H5JD -'DG  'D*H5JD -'DG  'D*H5JD -'DG  'D*H5JD 'DE-'A8G 'DE-'A8G 'DE-'A8G 'DE-'A8G 'DE-'A8G 'DE-'A8G #3E  'D9EJD #3E  'D9EJD #3E  'D9EJD #3E  'D9EJD #3E  'D9EJD #3E  'D9EJD FH9  'D9EJD FH9  'D9EJD FH9  'D9EJD FH9  'D9EJD FH9  'D9EJD FH9  'D9EJD 'D5FA 'D5FA 'D5FA 'D5FA 'D5FA 'D5FA 
</file>

<file path=customXml/item15.xml>�� 
</file>

<file path=customXml/item16.xml>�� 
</file>

<file path=customXml/item17.xml>�� 
</file>

<file path=customXml/item18.xml>�� E'3JH 
</file>

<file path=customXml/item19.xml>�� 
</file>

<file path=customXml/item20.xml>�� 
</file>

<file path=customXml/item21.xml>�� 
</file>

<file path=customXml/item22.xml>�� 
</file>

<file path=customXml/item23.xml>�� E'3JH E'3JH #3E  'D9EJD FH9  'D9EJD 'D9FH'F 'DE-'A8G EF5)  'D(J9 'D5FA 'DFH9 'D'3E 'DEB'3 DHF  'DEF*, DHF  'DBE'4 'DEF*, 391  'D(J9 71JBG  'D/A9 FH9  'D/A9 EJ9'/  'D7D( EJ9'/  'D*3DJE *'1J.  'D*3DJE 'DE3&HD  9F  'D*3DJE 'D-'D) E/G  'D*3DJE  ( 'DG/A E/G  'D*3DJE  ( 'DA9DJ -'DG  'D*H5JD 
</file>

<file path=customXml/item24.xml>�� 
</file>

<file path=customXml/item25.xml>�� E'3JH 
</file>

<file path=customXml/item26.xml>�� 
</file>

<file path=customXml/item27.xml>�� 
</file>

<file path=customXml/item28.xml>�� E'3JH #3E  'D9EJD FH9  'D9EJD 'D9FH'F 'DE-'A8G EF5)  'D(J9 'D5FA 'DFH9 'D'3E 'DEB'3 DHF  'DEF*, DHF  'DBE'4 'DEF*, 391  'D(J9 71JBG  'D/A9 FH9  'D/A9 EJ9'/  'D7D( EJ9'/  'D*3DJE *'1J.  'D*3DJE 'DE3&HD  9F  'D*3DJE 'D-'D) E/G  'D*3DJE  ( 'DG/A E/G  'D*3DJE  ( 'DA9DJ -'DG  'D*H5JD #3E  'D9EJD FH9  'D9EJD 'D9FH'F 'DE-'A8G EF5)  'D(J9 'D5FA 'DFH9 'D'3E 'DEB'3 DHF  'DEF*, DHF  'DBE'4 'DEF*, 391  'D(J9 71JBG  'D/A9 FH9  'D/A9 EJ9'/  'D7D( EJ9'/  'D*3DJE *'1J.  'D*3DJE 'DE3&HD  9F  'D*3DJE 'D-'D) E/G  'D*3DJE  ( 'DG/A E/G  'D*3DJE  ( 'DA9DJ -'DG  'D*H5JD 
</file>

<file path=customXml/itemProps1.xml><?xml version="1.0" encoding="utf-8"?>
<ds:datastoreItem xmlns:ds="http://schemas.openxmlformats.org/officeDocument/2006/customXml" ds:itemID="{0FC01917-3DB9-49F2-A5B0-44888009BBD0}">
  <ds:schemaRefs/>
</ds:datastoreItem>
</file>

<file path=customXml/itemProps2.xml><?xml version="1.0" encoding="utf-8"?>
<ds:datastoreItem xmlns:ds="http://schemas.openxmlformats.org/officeDocument/2006/customXml" ds:itemID="{A5ACF84C-E516-44EF-B549-6FFB31F2D8A6}">
  <ds:schemaRefs/>
</ds:datastoreItem>
</file>

<file path=customXml/itemProps3.xml><?xml version="1.0" encoding="utf-8"?>
<ds:datastoreItem xmlns:ds="http://schemas.openxmlformats.org/officeDocument/2006/customXml" ds:itemID="{7B9DF94A-670A-4953-99E1-455D6BE1592C}">
  <ds:schemaRefs/>
</ds:datastoreItem>
</file>

<file path=customXml/itemProps4.xml><?xml version="1.0" encoding="utf-8"?>
<ds:datastoreItem xmlns:ds="http://schemas.openxmlformats.org/officeDocument/2006/customXml" ds:itemID="{8F04257C-791A-4CE9-AD4D-D58105A6C57F}">
  <ds:schemaRefs/>
</ds:datastoreItem>
</file>

<file path=customXml/itemProps5.xml><?xml version="1.0" encoding="utf-8"?>
<ds:datastoreItem xmlns:ds="http://schemas.openxmlformats.org/officeDocument/2006/customXml" ds:itemID="{10C027E2-BEAD-4AA1-B96B-6225B5370BA7}">
  <ds:schemaRefs/>
</ds:datastoreItem>
</file>

<file path=customXml/itemProps6.xml><?xml version="1.0" encoding="utf-8"?>
<ds:datastoreItem xmlns:ds="http://schemas.openxmlformats.org/officeDocument/2006/customXml" ds:itemID="{DB5F7CB4-25FD-411B-A5C5-479F027035B0}">
  <ds:schemaRefs/>
</ds:datastoreItem>
</file>

<file path=customXml/itemProps7.xml><?xml version="1.0" encoding="utf-8"?>
<ds:datastoreItem xmlns:ds="http://schemas.openxmlformats.org/officeDocument/2006/customXml" ds:itemID="{42DE69EC-1C01-4BD7-B79C-6D79E80F6149}">
  <ds:schemaRefs/>
</ds:datastoreItem>
</file>

<file path=customXml/itemProps8.xml><?xml version="1.0" encoding="utf-8"?>
<ds:datastoreItem xmlns:ds="http://schemas.openxmlformats.org/officeDocument/2006/customXml" ds:itemID="{5127746C-109B-4120-981C-D686EFBCE5F8}">
  <ds:schemaRefs/>
</ds:datastoreItem>
</file>

<file path=customXml/itemProps9.xml><?xml version="1.0" encoding="utf-8"?>
<ds:datastoreItem xmlns:ds="http://schemas.openxmlformats.org/officeDocument/2006/customXml" ds:itemID="{B96A1AAC-408A-4421-A3CA-2909A2B4C027}">
  <ds:schemaRefs/>
</ds:datastoreItem>
</file>

<file path=customXml/itemProps10.xml><?xml version="1.0" encoding="utf-8"?>
<ds:datastoreItem xmlns:ds="http://schemas.openxmlformats.org/officeDocument/2006/customXml" ds:itemID="{48876BB1-FBDD-406A-A9F5-4F4EC27C704E}">
  <ds:schemaRefs>
    <ds:schemaRef ds:uri="http://schemas.microsoft.com/DataMashup"/>
  </ds:schemaRefs>
</ds:datastoreItem>
</file>

<file path=customXml/itemProps11.xml><?xml version="1.0" encoding="utf-8"?>
<ds:datastoreItem xmlns:ds="http://schemas.openxmlformats.org/officeDocument/2006/customXml" ds:itemID="{FDFFCA19-4F1C-440A-B897-2E399A16ABD6}">
  <ds:schemaRefs/>
</ds:datastoreItem>
</file>

<file path=customXml/itemProps12.xml><?xml version="1.0" encoding="utf-8"?>
<ds:datastoreItem xmlns:ds="http://schemas.openxmlformats.org/officeDocument/2006/customXml" ds:itemID="{E5D4E7ED-6F66-4B6F-913D-0614A8CF5AC7}">
  <ds:schemaRefs/>
</ds:datastoreItem>
</file>

<file path=customXml/itemProps13.xml><?xml version="1.0" encoding="utf-8"?>
<ds:datastoreItem xmlns:ds="http://schemas.openxmlformats.org/officeDocument/2006/customXml" ds:itemID="{37E55099-B675-4F4D-9DC2-9789D5559B7E}">
  <ds:schemaRefs/>
</ds:datastoreItem>
</file>

<file path=customXml/itemProps14.xml><?xml version="1.0" encoding="utf-8"?>
<ds:datastoreItem xmlns:ds="http://schemas.openxmlformats.org/officeDocument/2006/customXml" ds:itemID="{9D08D151-5C4C-4E12-9F65-BB9066503EDF}">
  <ds:schemaRefs/>
</ds:datastoreItem>
</file>

<file path=customXml/itemProps15.xml><?xml version="1.0" encoding="utf-8"?>
<ds:datastoreItem xmlns:ds="http://schemas.openxmlformats.org/officeDocument/2006/customXml" ds:itemID="{09D86BF1-9574-4C86-895B-E905EB19E8F0}">
  <ds:schemaRefs/>
</ds:datastoreItem>
</file>

<file path=customXml/itemProps16.xml><?xml version="1.0" encoding="utf-8"?>
<ds:datastoreItem xmlns:ds="http://schemas.openxmlformats.org/officeDocument/2006/customXml" ds:itemID="{0A4B4C3C-E4A8-41FA-974E-5A3350DFB79E}">
  <ds:schemaRefs/>
</ds:datastoreItem>
</file>

<file path=customXml/itemProps17.xml><?xml version="1.0" encoding="utf-8"?>
<ds:datastoreItem xmlns:ds="http://schemas.openxmlformats.org/officeDocument/2006/customXml" ds:itemID="{D732E31D-0D66-488E-9982-5E951F121680}">
  <ds:schemaRefs/>
</ds:datastoreItem>
</file>

<file path=customXml/itemProps18.xml><?xml version="1.0" encoding="utf-8"?>
<ds:datastoreItem xmlns:ds="http://schemas.openxmlformats.org/officeDocument/2006/customXml" ds:itemID="{9A7357EA-6748-4CF9-A501-E0434578CDC8}">
  <ds:schemaRefs/>
</ds:datastoreItem>
</file>

<file path=customXml/itemProps19.xml><?xml version="1.0" encoding="utf-8"?>
<ds:datastoreItem xmlns:ds="http://schemas.openxmlformats.org/officeDocument/2006/customXml" ds:itemID="{9CF107D6-367C-40B3-B7A0-1B7BF54B688B}">
  <ds:schemaRefs/>
</ds:datastoreItem>
</file>

<file path=customXml/itemProps20.xml><?xml version="1.0" encoding="utf-8"?>
<ds:datastoreItem xmlns:ds="http://schemas.openxmlformats.org/officeDocument/2006/customXml" ds:itemID="{B70DBA0F-2C8E-4987-BDDE-199F7AB3C714}">
  <ds:schemaRefs/>
</ds:datastoreItem>
</file>

<file path=customXml/itemProps21.xml><?xml version="1.0" encoding="utf-8"?>
<ds:datastoreItem xmlns:ds="http://schemas.openxmlformats.org/officeDocument/2006/customXml" ds:itemID="{A089574D-8DB4-4CB9-9A53-FAFDB7B28044}">
  <ds:schemaRefs/>
</ds:datastoreItem>
</file>

<file path=customXml/itemProps22.xml><?xml version="1.0" encoding="utf-8"?>
<ds:datastoreItem xmlns:ds="http://schemas.openxmlformats.org/officeDocument/2006/customXml" ds:itemID="{78EB4F6B-825B-4262-8F45-FA2AAD444728}">
  <ds:schemaRefs/>
</ds:datastoreItem>
</file>

<file path=customXml/itemProps23.xml><?xml version="1.0" encoding="utf-8"?>
<ds:datastoreItem xmlns:ds="http://schemas.openxmlformats.org/officeDocument/2006/customXml" ds:itemID="{56A28F15-9F51-4F40-8A52-7C6FDFAD0349}">
  <ds:schemaRefs/>
</ds:datastoreItem>
</file>

<file path=customXml/itemProps24.xml><?xml version="1.0" encoding="utf-8"?>
<ds:datastoreItem xmlns:ds="http://schemas.openxmlformats.org/officeDocument/2006/customXml" ds:itemID="{49AA45F9-D41F-4F16-BF3C-72FB3FC61BFC}">
  <ds:schemaRefs/>
</ds:datastoreItem>
</file>

<file path=customXml/itemProps25.xml><?xml version="1.0" encoding="utf-8"?>
<ds:datastoreItem xmlns:ds="http://schemas.openxmlformats.org/officeDocument/2006/customXml" ds:itemID="{25EE6E21-D470-4294-9E9D-3E711C264963}">
  <ds:schemaRefs/>
</ds:datastoreItem>
</file>

<file path=customXml/itemProps26.xml><?xml version="1.0" encoding="utf-8"?>
<ds:datastoreItem xmlns:ds="http://schemas.openxmlformats.org/officeDocument/2006/customXml" ds:itemID="{B7DC8436-B1C5-4C42-807E-1EB49093FB2A}">
  <ds:schemaRefs/>
</ds:datastoreItem>
</file>

<file path=customXml/itemProps27.xml><?xml version="1.0" encoding="utf-8"?>
<ds:datastoreItem xmlns:ds="http://schemas.openxmlformats.org/officeDocument/2006/customXml" ds:itemID="{D8390080-B3A3-4DC6-B523-6A4107F14386}">
  <ds:schemaRefs/>
</ds:datastoreItem>
</file>

<file path=customXml/itemProps28.xml><?xml version="1.0" encoding="utf-8"?>
<ds:datastoreItem xmlns:ds="http://schemas.openxmlformats.org/officeDocument/2006/customXml" ds:itemID="{F2F2AE2D-3D5F-47F9-8E9B-B928061F989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pivot_table</vt:lpstr>
      <vt:lpstr>dashboard</vt:lpstr>
      <vt:lpstr>ماسيو</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Ashraf</dc:creator>
  <cp:lastModifiedBy>Ali Ashraf</cp:lastModifiedBy>
  <dcterms:created xsi:type="dcterms:W3CDTF">2015-06-05T18:17:20Z</dcterms:created>
  <dcterms:modified xsi:type="dcterms:W3CDTF">2026-04-29T01:04:13Z</dcterms:modified>
</cp:coreProperties>
</file>